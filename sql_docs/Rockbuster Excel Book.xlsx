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DA CareerFoundry\Part II - Data Immersion\SQL\3.10 Presenting SQL Results\"/>
    </mc:Choice>
  </mc:AlternateContent>
  <xr:revisionPtr revIDLastSave="0" documentId="13_ncr:1_{C2BBAC6B-7F50-4FC5-B6E2-6EB733224112}" xr6:coauthVersionLast="47" xr6:coauthVersionMax="47" xr10:uidLastSave="{00000000-0000-0000-0000-000000000000}"/>
  <bookViews>
    <workbookView xWindow="-28920" yWindow="-120" windowWidth="29040" windowHeight="15720" firstSheet="3" activeTab="7" xr2:uid="{A1AF6268-A96A-4BEF-95B0-BCFF33B13E78}"/>
  </bookViews>
  <sheets>
    <sheet name="Descr. Analysis - film" sheetId="1" r:id="rId1"/>
    <sheet name="Descr. Analysis - costumer" sheetId="2" r:id="rId2"/>
    <sheet name="Top 10 Countries - customer #" sheetId="3" r:id="rId3"/>
    <sheet name="Top 10 Cities of the prev. sel." sheetId="4" r:id="rId4"/>
    <sheet name="Top 5 Customers of prev. sel." sheetId="5" r:id="rId5"/>
    <sheet name="revenue by rating" sheetId="7" r:id="rId6"/>
    <sheet name="Revenue by Category" sheetId="6" r:id="rId7"/>
    <sheet name="Sales variation per country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2" l="1" a="1"/>
  <c r="G19" i="2" s="1"/>
  <c r="G21" i="2" a="1"/>
  <c r="G21" i="2" s="1"/>
  <c r="G24" i="2" a="1"/>
  <c r="G24" i="2" s="1"/>
  <c r="G26" i="2" a="1"/>
  <c r="G26" i="2" s="1"/>
  <c r="G31" i="2" a="1"/>
  <c r="G31" i="2" s="1"/>
  <c r="G40" i="2" a="1"/>
  <c r="G40" i="2" s="1"/>
  <c r="G43" i="2" a="1"/>
  <c r="G43" i="2" s="1"/>
  <c r="G49" i="2" a="1"/>
  <c r="G49" i="2" s="1"/>
  <c r="G54" i="2" a="1"/>
  <c r="G54" i="2" s="1"/>
  <c r="D20" i="1" a="1"/>
  <c r="D20" i="1" s="1"/>
  <c r="D25" i="1" a="1"/>
  <c r="D25" i="1" s="1"/>
  <c r="D22" i="1" a="1"/>
  <c r="D22" i="1" s="1"/>
  <c r="D31" i="1" a="1"/>
  <c r="D31" i="1" s="1"/>
  <c r="D37" i="1" a="1"/>
  <c r="D37" i="1" s="1"/>
  <c r="D42" i="1" a="1"/>
  <c r="D42" i="1" s="1"/>
  <c r="D48" i="1" a="1"/>
  <c r="D48" i="1"/>
  <c r="D54" i="1" a="1"/>
  <c r="D54" i="1" s="1"/>
  <c r="D60" i="1" a="1"/>
  <c r="D60" i="1" s="1"/>
  <c r="D66" i="1" a="1"/>
  <c r="D6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<sst xmlns="http://schemas.openxmlformats.org/spreadsheetml/2006/main" count="548" uniqueCount="465">
  <si>
    <t>Names and data types</t>
  </si>
  <si>
    <t>column_name</t>
  </si>
  <si>
    <t>data_type</t>
  </si>
  <si>
    <t>film_id</t>
  </si>
  <si>
    <t>integer</t>
  </si>
  <si>
    <t>title</t>
  </si>
  <si>
    <t>character varying</t>
  </si>
  <si>
    <t>description</t>
  </si>
  <si>
    <t>text</t>
  </si>
  <si>
    <t>release_year</t>
  </si>
  <si>
    <t>language_id</t>
  </si>
  <si>
    <t>smallint</t>
  </si>
  <si>
    <t>rental_duration</t>
  </si>
  <si>
    <t>rental_rate</t>
  </si>
  <si>
    <t>numeric</t>
  </si>
  <si>
    <t>length</t>
  </si>
  <si>
    <t>replacement_cost</t>
  </si>
  <si>
    <t>rating</t>
  </si>
  <si>
    <t>USER-DEFINED</t>
  </si>
  <si>
    <t>last_update</t>
  </si>
  <si>
    <t>timestamp without time zone</t>
  </si>
  <si>
    <t>special_features</t>
  </si>
  <si>
    <t>ARRAY</t>
  </si>
  <si>
    <t>fulltext</t>
  </si>
  <si>
    <t>tsvector</t>
  </si>
  <si>
    <t>SELECT</t>
  </si>
  <si>
    <t>column_name,</t>
  </si>
  <si>
    <t>FROM</t>
  </si>
  <si>
    <t>information_schema.columns</t>
  </si>
  <si>
    <t>WHERE</t>
  </si>
  <si>
    <t>table_name = 'film'</t>
  </si>
  <si>
    <t>ORDER BY</t>
  </si>
  <si>
    <t>ordinal_position;</t>
  </si>
  <si>
    <t>Query</t>
  </si>
  <si>
    <t>film table</t>
  </si>
  <si>
    <t>total_rows</t>
  </si>
  <si>
    <t>count_film_id</t>
  </si>
  <si>
    <t>min_film_id</t>
  </si>
  <si>
    <t>max_film_id</t>
  </si>
  <si>
    <t>mode_film_id</t>
  </si>
  <si>
    <t>count_release_year</t>
  </si>
  <si>
    <t>min_release_year</t>
  </si>
  <si>
    <t>max_release_year</t>
  </si>
  <si>
    <t>avg_release_year</t>
  </si>
  <si>
    <t>mode_release_year</t>
  </si>
  <si>
    <t>count_language_id</t>
  </si>
  <si>
    <t>min_language_id</t>
  </si>
  <si>
    <t>max_language_id</t>
  </si>
  <si>
    <t>mode_language_id</t>
  </si>
  <si>
    <t>count_rental_duration</t>
  </si>
  <si>
    <t>min_rental_duration</t>
  </si>
  <si>
    <t>max_rental_duration</t>
  </si>
  <si>
    <t>avg_rental_duration</t>
  </si>
  <si>
    <t>mode_rental_duration</t>
  </si>
  <si>
    <t>count_rental_rate</t>
  </si>
  <si>
    <t>min_rental_rate</t>
  </si>
  <si>
    <t>max_rental_rate</t>
  </si>
  <si>
    <t>avg_rental_rate</t>
  </si>
  <si>
    <t>mode_rental_rate</t>
  </si>
  <si>
    <t>count_length</t>
  </si>
  <si>
    <t>min_length</t>
  </si>
  <si>
    <t>max_length</t>
  </si>
  <si>
    <t>avg_length</t>
  </si>
  <si>
    <t>mode_length</t>
  </si>
  <si>
    <t>count_replacement_cost</t>
  </si>
  <si>
    <t>min_replacement_cost</t>
  </si>
  <si>
    <t>max_replacement_cost</t>
  </si>
  <si>
    <t>avg_replacement_cost</t>
  </si>
  <si>
    <t>mode_replacement_cost</t>
  </si>
  <si>
    <t>count_rating</t>
  </si>
  <si>
    <t>mode_rating</t>
  </si>
  <si>
    <t>0.99</t>
  </si>
  <si>
    <t>4.99</t>
  </si>
  <si>
    <t>9.99</t>
  </si>
  <si>
    <t>29.99</t>
  </si>
  <si>
    <t>20.99</t>
  </si>
  <si>
    <t>PG-13</t>
  </si>
  <si>
    <t>Descriptive Statistics</t>
  </si>
  <si>
    <t>-- CREATE EXTENSION IF NOT EXISTS tablefunc;</t>
  </si>
  <si>
    <t>COUNT(*) AS total_rows,-- film_id</t>
  </si>
  <si>
    <t>COUNT(film_id) AS count_film_id,</t>
  </si>
  <si>
    <t>MIN(film_id) AS min_film_id,</t>
  </si>
  <si>
    <t>MAX(film_id) AS max_film_id,</t>
  </si>
  <si>
    <t>MODE() WITHIN GROUP (ORDER BY film_id) AS mode_film_id,</t>
  </si>
  <si>
    <t>COUNT(release_year) AS count_release_year,</t>
  </si>
  <si>
    <t>MIN(release_year) AS min_release_year,</t>
  </si>
  <si>
    <t>MAX(release_year) AS max_release_year,</t>
  </si>
  <si>
    <t>AVG(release_year) AS avg_release_year,</t>
  </si>
  <si>
    <t>MODE() WITHIN GROUP (ORDER BY release_year) AS mode_release_year,</t>
  </si>
  <si>
    <t>COUNT(language_id) AS count_language_id,</t>
  </si>
  <si>
    <t>MIN(language_id) AS min_language_id,</t>
  </si>
  <si>
    <t>MAX(language_id) AS max_language_id,</t>
  </si>
  <si>
    <t>MODE() WITHIN GROUP (ORDER BY language_id) AS mode_language_id,</t>
  </si>
  <si>
    <t>COUNT(rental_duration) AS count_rental_duration,</t>
  </si>
  <si>
    <t>MIN(rental_duration) AS min_rental_duration,</t>
  </si>
  <si>
    <t>MAX(rental_duration) AS max_rental_duration,</t>
  </si>
  <si>
    <t>AVG(rental_duration) AS avg_rental_duration,</t>
  </si>
  <si>
    <t>MODE() WITHIN GROUP (ORDER BY rental_duration) AS mode_rental_duration,</t>
  </si>
  <si>
    <t>COUNT(rental_rate) AS count_rental_rate,</t>
  </si>
  <si>
    <t>MIN(rental_rate) AS min_rental_rate,</t>
  </si>
  <si>
    <t>MAX(rental_rate) AS max_rental_rate,</t>
  </si>
  <si>
    <t>AVG(rental_rate) AS avg_rental_rate,</t>
  </si>
  <si>
    <t>MODE() WITHIN GROUP (ORDER BY rental_rate) AS mode_rental_rate,</t>
  </si>
  <si>
    <t>COUNT(length) AS count_length,</t>
  </si>
  <si>
    <t>MIN(length) AS min_length,</t>
  </si>
  <si>
    <t>MAX(length) AS max_length,</t>
  </si>
  <si>
    <t>AVG(length) AS avg_length,</t>
  </si>
  <si>
    <t>MODE() WITHIN GROUP (ORDER BY length) AS mode_length,</t>
  </si>
  <si>
    <t>COUNT(replacement_cost) AS count_replacement_cost,</t>
  </si>
  <si>
    <t>MIN(replacement_cost) AS min_replacement_cost,</t>
  </si>
  <si>
    <t>MAX(replacement_cost) AS max_replacement_cost,</t>
  </si>
  <si>
    <t>AVG(replacement_cost) AS avg_replacement_cost,MODE() WITHIN GROUP (ORDER BY replacement_cost) AS</t>
  </si>
  <si>
    <t>mode_replacement_cost,</t>
  </si>
  <si>
    <t>COUNT(rating) AS count_rating,</t>
  </si>
  <si>
    <t>MODE() WITHIN GROUP (ORDER BY rating) AS mode_rating</t>
  </si>
  <si>
    <t>FROM film;</t>
  </si>
  <si>
    <t>customer_id</t>
  </si>
  <si>
    <t>store_id</t>
  </si>
  <si>
    <t>first_name</t>
  </si>
  <si>
    <t>last_name</t>
  </si>
  <si>
    <t>email</t>
  </si>
  <si>
    <t>address_id</t>
  </si>
  <si>
    <t>activebool</t>
  </si>
  <si>
    <t>boolean</t>
  </si>
  <si>
    <t>create_date</t>
  </si>
  <si>
    <t>date</t>
  </si>
  <si>
    <t>active</t>
  </si>
  <si>
    <t>count_customer_id</t>
  </si>
  <si>
    <t>min_customer_id</t>
  </si>
  <si>
    <t>max_customer_id</t>
  </si>
  <si>
    <t>mode_customer_id</t>
  </si>
  <si>
    <t>count_store_id</t>
  </si>
  <si>
    <t>min_store_id</t>
  </si>
  <si>
    <t>max_store_id</t>
  </si>
  <si>
    <t>mode_store_id</t>
  </si>
  <si>
    <t>count_address_id</t>
  </si>
  <si>
    <t>min_address_id</t>
  </si>
  <si>
    <t>max_address_id</t>
  </si>
  <si>
    <t>mode_address_id</t>
  </si>
  <si>
    <t>count_activebool</t>
  </si>
  <si>
    <t>mode_activebool</t>
  </si>
  <si>
    <t>count_active</t>
  </si>
  <si>
    <t>min_active</t>
  </si>
  <si>
    <t>max_active</t>
  </si>
  <si>
    <t>avg_active</t>
  </si>
  <si>
    <t>mode_active</t>
  </si>
  <si>
    <t>count_create_date</t>
  </si>
  <si>
    <t>earliest_create_date</t>
  </si>
  <si>
    <t>latest_create_date</t>
  </si>
  <si>
    <t>mode_create_date</t>
  </si>
  <si>
    <t>count_last_update</t>
  </si>
  <si>
    <t>earliest_update</t>
  </si>
  <si>
    <t>latest_update</t>
  </si>
  <si>
    <t>true</t>
  </si>
  <si>
    <t>0.97495826377295492487</t>
  </si>
  <si>
    <t>2013-05-26 14:49:45.738</t>
  </si>
  <si>
    <t>Descriptive Analysis</t>
  </si>
  <si>
    <t>costumer table</t>
  </si>
  <si>
    <t>COUNT(*) AS total_rows,</t>
  </si>
  <si>
    <t>COUNT(customer_id) AS count_customer_id,</t>
  </si>
  <si>
    <t>MIN(customer_id) AS min_customer_id,</t>
  </si>
  <si>
    <t>MAX(customer_id) AS max_customer_id,</t>
  </si>
  <si>
    <t>MODE() WITHIN GROUP (ORDER BY customer_id) AS mode_customer_id,</t>
  </si>
  <si>
    <t>COUNT(store_id) AS count_store_id,</t>
  </si>
  <si>
    <t>MIN(store_id) AS min_store_id,</t>
  </si>
  <si>
    <t>MAX(store_id) AS max_store_id,</t>
  </si>
  <si>
    <t>MODE() WITHIN GROUP (ORDER BY store_id) AS mode_store_id,-- address_id</t>
  </si>
  <si>
    <t>COUNT(address_id) AS count_address_id,</t>
  </si>
  <si>
    <t>MIN(address_id) AS min_address_id,</t>
  </si>
  <si>
    <t>MAX(address_id) AS max_address_id,</t>
  </si>
  <si>
    <t>MODE() WITHIN GROUP (ORDER BY address_id) AS mode_address_id,</t>
  </si>
  <si>
    <t>COUNT(activebool) AS count_activebool,</t>
  </si>
  <si>
    <t>MODE() WITHIN GROUP (ORDER BY activebool) AS mode_activebool,</t>
  </si>
  <si>
    <t>COUNT(active) AS count_active,</t>
  </si>
  <si>
    <t>MIN(active) AS min_active,</t>
  </si>
  <si>
    <t>MAX(active) AS max_active,</t>
  </si>
  <si>
    <t>AVG(active) AS avg_active,</t>
  </si>
  <si>
    <t>MODE() WITHIN GROUP (ORDER BY active) AS mode_active,</t>
  </si>
  <si>
    <t>COUNT(create_date) AS count_create_date,</t>
  </si>
  <si>
    <t>MIN(create_date) AS earliest_create_date,</t>
  </si>
  <si>
    <t>MAX(create_date) AS latest_create_date,</t>
  </si>
  <si>
    <t>MODE() WITHIN GROUP (ORDER BY create_date) AS mode_create_date,</t>
  </si>
  <si>
    <t>COUNT(last_update) AS count_last_update,</t>
  </si>
  <si>
    <t>MIN(last_update) AS earliest_update,</t>
  </si>
  <si>
    <t>MAX(last_update) AS latest_update</t>
  </si>
  <si>
    <t>FROM customer;</t>
  </si>
  <si>
    <t>table_name = 'customer'</t>
  </si>
  <si>
    <t>Top 10 Countries by higher customer number</t>
  </si>
  <si>
    <t xml:space="preserve">"country_name" </t>
  </si>
  <si>
    <t>"customer_count"</t>
  </si>
  <si>
    <t xml:space="preserve">"India" </t>
  </si>
  <si>
    <t xml:space="preserve">"China" </t>
  </si>
  <si>
    <t xml:space="preserve">"United States" </t>
  </si>
  <si>
    <t xml:space="preserve">"Japan" </t>
  </si>
  <si>
    <t xml:space="preserve">"Mexico" </t>
  </si>
  <si>
    <t xml:space="preserve">"Brazil" </t>
  </si>
  <si>
    <t xml:space="preserve">"Russian Federation" </t>
  </si>
  <si>
    <t xml:space="preserve">"Philippines" </t>
  </si>
  <si>
    <t xml:space="preserve">"Turkey" </t>
  </si>
  <si>
    <t xml:space="preserve">"Indonesia" </t>
  </si>
  <si>
    <t>SELECT country.country AS country_name,</t>
  </si>
  <si>
    <t>COUNT(customer.customer_id) AS customer_count</t>
  </si>
  <si>
    <t>FROM country</t>
  </si>
  <si>
    <t>INNER JOIN city ON country.country_id = city.country_id</t>
  </si>
  <si>
    <t>INNER JOIN address ON city.city_id = address.city_id</t>
  </si>
  <si>
    <t>INNER JOIN customer ON customer.address_id = address.address_id</t>
  </si>
  <si>
    <t>GROUP BY country.country</t>
  </si>
  <si>
    <t>ORDER BY customer_count DESC</t>
  </si>
  <si>
    <t>LIMIT 10;</t>
  </si>
  <si>
    <t xml:space="preserve">"city_name" </t>
  </si>
  <si>
    <t xml:space="preserve">"country" </t>
  </si>
  <si>
    <t xml:space="preserve">"Aurora" </t>
  </si>
  <si>
    <t xml:space="preserve">"Atlixco" </t>
  </si>
  <si>
    <t xml:space="preserve">"Xintai" </t>
  </si>
  <si>
    <t xml:space="preserve">"Adoni" </t>
  </si>
  <si>
    <t xml:space="preserve">"Dhule (Dhulia)" </t>
  </si>
  <si>
    <t xml:space="preserve">"Kurashiki" </t>
  </si>
  <si>
    <t xml:space="preserve">"Pingxiang" </t>
  </si>
  <si>
    <t xml:space="preserve">"Sivas" </t>
  </si>
  <si>
    <t xml:space="preserve">"Celaya" </t>
  </si>
  <si>
    <t xml:space="preserve">"So Leopoldo" </t>
  </si>
  <si>
    <t>city.city AS city_name,</t>
  </si>
  <si>
    <t>country.country,</t>
  </si>
  <si>
    <t>WHERE country.country IN ('India', 'China', 'United States', 'Japan', 'Mexico',</t>
  </si>
  <si>
    <t>'Brazil', 'Russian</t>
  </si>
  <si>
    <t>Federation', 'Philippines', 'Turkey', 'Indonesia')</t>
  </si>
  <si>
    <t>GROUP BY city.city, country.country</t>
  </si>
  <si>
    <t>Top 5 Customers of the previous Selection (Top 10 cities of the Top 10 countries with the highest number of customers)</t>
  </si>
  <si>
    <t>(The Customers that have paid the most to Rockbuster)</t>
  </si>
  <si>
    <t>"customer_i
d"</t>
  </si>
  <si>
    <t>"first_nam
e"</t>
  </si>
  <si>
    <t>"last_nam
e"</t>
  </si>
  <si>
    <t xml:space="preserve">"city" </t>
  </si>
  <si>
    <t>"countr
y"</t>
  </si>
  <si>
    <t>"total_amount_p
aid"</t>
  </si>
  <si>
    <t xml:space="preserve">"Sara" </t>
  </si>
  <si>
    <t xml:space="preserve">"Perry" </t>
  </si>
  <si>
    <t>"Atlixc
o"</t>
  </si>
  <si>
    <t>"Mexico
"</t>
  </si>
  <si>
    <t xml:space="preserve">"Gabriel" </t>
  </si>
  <si>
    <t xml:space="preserve">"Harder" </t>
  </si>
  <si>
    <t xml:space="preserve">"Sergio" </t>
  </si>
  <si>
    <t xml:space="preserve">"Stanfield" </t>
  </si>
  <si>
    <t>"Celay
a"</t>
  </si>
  <si>
    <t xml:space="preserve">"Clinton" </t>
  </si>
  <si>
    <t xml:space="preserve">"Buford" </t>
  </si>
  <si>
    <t>"Aurora
"</t>
  </si>
  <si>
    <t>"United
States"</t>
  </si>
  <si>
    <t xml:space="preserve">"Adam" </t>
  </si>
  <si>
    <t xml:space="preserve">"Gooch" </t>
  </si>
  <si>
    <t>"Adoni
"</t>
  </si>
  <si>
    <t>customer.customer_id,</t>
  </si>
  <si>
    <t>customer.first_name,</t>
  </si>
  <si>
    <t>customer.last_name,</t>
  </si>
  <si>
    <t>city.city,</t>
  </si>
  <si>
    <t>SUM(payment.amount) AS total_amount_paid</t>
  </si>
  <si>
    <t>INNER JOIN customer ON address.address_id = customer.address_id</t>
  </si>
  <si>
    <t>INNER JOIN payment ON customer.customer_id = payment.customer_id</t>
  </si>
  <si>
    <t>WHERE city.city IN</t>
  </si>
  <si>
    <t>('Aurora', 'Atlixco', 'Xintai', 'Adoni', 'Dhule (Dhulia)', 'Kurashiki',</t>
  </si>
  <si>
    <t>'Pingxiang', 'Sivas', 'Celaya', 'So Leopoldo')</t>
  </si>
  <si>
    <t>AND country.country IN</t>
  </si>
  <si>
    <t>('India', 'China', 'United States', 'Japan', 'Mexico', 'Brazil', 'Russian</t>
  </si>
  <si>
    <t>GROUP BY customer.customer_id, customer.first_name, customer.last_name,</t>
  </si>
  <si>
    <t>city.city, country.country</t>
  </si>
  <si>
    <t>ORDER BY total_amount_paid DESC</t>
  </si>
  <si>
    <t>LIMIT 5;</t>
  </si>
  <si>
    <t>115.272</t>
  </si>
  <si>
    <t>19.984</t>
  </si>
  <si>
    <t>2.98</t>
  </si>
  <si>
    <t>4.985</t>
  </si>
  <si>
    <t>total_revenue</t>
  </si>
  <si>
    <t>13855.56</t>
  </si>
  <si>
    <t>NC-17</t>
  </si>
  <si>
    <t>12634.92</t>
  </si>
  <si>
    <t>PG</t>
  </si>
  <si>
    <t>12236.65</t>
  </si>
  <si>
    <t>R</t>
  </si>
  <si>
    <t>12073.03</t>
  </si>
  <si>
    <t>G</t>
  </si>
  <si>
    <t>10511.88</t>
  </si>
  <si>
    <t xml:space="preserve">    film.rating,</t>
  </si>
  <si>
    <t xml:space="preserve">    SUM(payment.amount) AS total_revenue</t>
  </si>
  <si>
    <t>FROM payment</t>
  </si>
  <si>
    <t>JOIN rental ON payment.rental_id = rental.rental_id</t>
  </si>
  <si>
    <t>JOIN inventory ON rental.inventory_id = inventory.inventory_id</t>
  </si>
  <si>
    <t>JOIN film ON inventory.film_id = film.film_id</t>
  </si>
  <si>
    <t>GROUP BY film.rating</t>
  </si>
  <si>
    <t>ORDER BY total_revenue DESC;</t>
  </si>
  <si>
    <t xml:space="preserve">SELECT </t>
  </si>
  <si>
    <t xml:space="preserve">    cat.name AS category,</t>
  </si>
  <si>
    <t xml:space="preserve">    COUNT(r.rental_id) AS rental_count,</t>
  </si>
  <si>
    <t xml:space="preserve">    SUM(p.amount) AS total_revenue</t>
  </si>
  <si>
    <t>FROM category cat</t>
  </si>
  <si>
    <t>JOIN film_category fc ON cat.category_id = fc.category_id</t>
  </si>
  <si>
    <t>JOIN film f ON fc.film_id = f.film_id</t>
  </si>
  <si>
    <t>JOIN inventory i ON f.film_id = i.film_id</t>
  </si>
  <si>
    <t>JOIN rental r ON i.inventory_id = r.inventory_id</t>
  </si>
  <si>
    <t>JOIN payment p ON r.rental_id = p.rental_id</t>
  </si>
  <si>
    <t>GROUP BY cat.name</t>
  </si>
  <si>
    <t>category</t>
  </si>
  <si>
    <t>rental_count</t>
  </si>
  <si>
    <t>Sports</t>
  </si>
  <si>
    <t>4892.19</t>
  </si>
  <si>
    <t>Sci-Fi</t>
  </si>
  <si>
    <t>4336.01</t>
  </si>
  <si>
    <t>Animation</t>
  </si>
  <si>
    <t>4245.31</t>
  </si>
  <si>
    <t>Drama</t>
  </si>
  <si>
    <t>4118.46</t>
  </si>
  <si>
    <t>New</t>
  </si>
  <si>
    <t>4014.27</t>
  </si>
  <si>
    <t>Comedy</t>
  </si>
  <si>
    <t>4002.48</t>
  </si>
  <si>
    <t>Action</t>
  </si>
  <si>
    <t>3951.84</t>
  </si>
  <si>
    <t>Foreign</t>
  </si>
  <si>
    <t>3934.47</t>
  </si>
  <si>
    <t>Games</t>
  </si>
  <si>
    <t>3922.18</t>
  </si>
  <si>
    <t>Family</t>
  </si>
  <si>
    <t>3782.26</t>
  </si>
  <si>
    <t>Documentary</t>
  </si>
  <si>
    <t>3749.65</t>
  </si>
  <si>
    <t>Horror</t>
  </si>
  <si>
    <t>3401.27</t>
  </si>
  <si>
    <t>Classics</t>
  </si>
  <si>
    <t>3353.38</t>
  </si>
  <si>
    <t>Children</t>
  </si>
  <si>
    <t>3309.39</t>
  </si>
  <si>
    <t>Travel</t>
  </si>
  <si>
    <t>3227.36</t>
  </si>
  <si>
    <t>Music</t>
  </si>
  <si>
    <t>3071.52</t>
  </si>
  <si>
    <t xml:space="preserve">Top 10 Countries for Rockbuster in terms of customer numbers. </t>
  </si>
  <si>
    <t>Top 10 Cities that fall within the Top 10 Countries identified earlier</t>
  </si>
  <si>
    <t>Top 10 Cities of the Previous Selection (Top 10 Countries by customer numbers)</t>
  </si>
  <si>
    <t>Revenue by Rating</t>
  </si>
  <si>
    <t>Revenue by Category, with rental count</t>
  </si>
  <si>
    <t>Column1</t>
  </si>
  <si>
    <t>Descriptive Analysis for Film Table</t>
  </si>
  <si>
    <t>Descriptive Analysis for Customer Table</t>
  </si>
  <si>
    <t>country_name</t>
  </si>
  <si>
    <t>total_sales</t>
  </si>
  <si>
    <t xml:space="preserve">    co.country AS country_name,</t>
  </si>
  <si>
    <t>India</t>
  </si>
  <si>
    <t xml:space="preserve">    SUM(p.amount) AS total_sales</t>
  </si>
  <si>
    <t>China</t>
  </si>
  <si>
    <t>United States</t>
  </si>
  <si>
    <t xml:space="preserve">    payment p</t>
  </si>
  <si>
    <t>Japan</t>
  </si>
  <si>
    <t>JOIN</t>
  </si>
  <si>
    <t>Mexico</t>
  </si>
  <si>
    <t xml:space="preserve">    rental r ON p.rental_id = r.rental_id</t>
  </si>
  <si>
    <t>Brazil</t>
  </si>
  <si>
    <t>Russian Federation</t>
  </si>
  <si>
    <t xml:space="preserve">    customer c ON r.customer_id = c.customer_id</t>
  </si>
  <si>
    <t>Philippines</t>
  </si>
  <si>
    <t>Turkey</t>
  </si>
  <si>
    <t xml:space="preserve">    address a ON c.address_id = a.address_id</t>
  </si>
  <si>
    <t>Indonesia</t>
  </si>
  <si>
    <t>Nigeria</t>
  </si>
  <si>
    <t xml:space="preserve">    city ci ON a.city_id = ci.city_id</t>
  </si>
  <si>
    <t>Argentina</t>
  </si>
  <si>
    <t>Taiwan</t>
  </si>
  <si>
    <t xml:space="preserve">    country co ON ci.country_id = co.country_id</t>
  </si>
  <si>
    <t>South Africa</t>
  </si>
  <si>
    <t>GROUP BY</t>
  </si>
  <si>
    <t>Iran</t>
  </si>
  <si>
    <t xml:space="preserve">    co.country</t>
  </si>
  <si>
    <t>United Kingdom</t>
  </si>
  <si>
    <t>Poland</t>
  </si>
  <si>
    <t xml:space="preserve">    total_sales DESC</t>
  </si>
  <si>
    <t>Italy</t>
  </si>
  <si>
    <t>Germany</t>
  </si>
  <si>
    <t>Vietnam</t>
  </si>
  <si>
    <t>Ukraine</t>
  </si>
  <si>
    <t>Colombia</t>
  </si>
  <si>
    <t>Egypt</t>
  </si>
  <si>
    <t>Venezuela</t>
  </si>
  <si>
    <t>Canada</t>
  </si>
  <si>
    <t>Netherlands</t>
  </si>
  <si>
    <t>South Korea</t>
  </si>
  <si>
    <t>Spain</t>
  </si>
  <si>
    <t>Yemen</t>
  </si>
  <si>
    <t>Pakistan</t>
  </si>
  <si>
    <t>Saudi Arabia</t>
  </si>
  <si>
    <t>Peru</t>
  </si>
  <si>
    <t>Thailand</t>
  </si>
  <si>
    <t>Israel</t>
  </si>
  <si>
    <t>Ecuador</t>
  </si>
  <si>
    <t>Bangladesh</t>
  </si>
  <si>
    <t>Algeria</t>
  </si>
  <si>
    <t>France</t>
  </si>
  <si>
    <t>Malaysia</t>
  </si>
  <si>
    <t>Tanzania</t>
  </si>
  <si>
    <t>Mozambique</t>
  </si>
  <si>
    <t>United Arab Emirates</t>
  </si>
  <si>
    <t>Dominican Republic</t>
  </si>
  <si>
    <t>Chile</t>
  </si>
  <si>
    <t>Austria</t>
  </si>
  <si>
    <t>Morocco</t>
  </si>
  <si>
    <t>Paraguay</t>
  </si>
  <si>
    <t>Belarus</t>
  </si>
  <si>
    <t>Latvia</t>
  </si>
  <si>
    <t>Switzerland</t>
  </si>
  <si>
    <t>Kenya</t>
  </si>
  <si>
    <t>Yugoslavia</t>
  </si>
  <si>
    <t>Puerto Rico</t>
  </si>
  <si>
    <t>Romania</t>
  </si>
  <si>
    <t>Runion</t>
  </si>
  <si>
    <t>French Polynesia</t>
  </si>
  <si>
    <t>Greece</t>
  </si>
  <si>
    <t>Sudan</t>
  </si>
  <si>
    <t>Azerbaijan</t>
  </si>
  <si>
    <t>Bulgaria</t>
  </si>
  <si>
    <t>Kazakstan</t>
  </si>
  <si>
    <t>Angola</t>
  </si>
  <si>
    <t>Cameroon</t>
  </si>
  <si>
    <t>Myanmar</t>
  </si>
  <si>
    <t>Cambodia</t>
  </si>
  <si>
    <t>Bolivia</t>
  </si>
  <si>
    <t>Congo, The Democratic Republic of the</t>
  </si>
  <si>
    <t>Oman</t>
  </si>
  <si>
    <t>Holy See (Vatican City State)</t>
  </si>
  <si>
    <t>Nauru</t>
  </si>
  <si>
    <t>Sweden</t>
  </si>
  <si>
    <t>Czech Republic</t>
  </si>
  <si>
    <t>Moldova</t>
  </si>
  <si>
    <t>Turkmenistan</t>
  </si>
  <si>
    <t>Chad</t>
  </si>
  <si>
    <t>Malawi</t>
  </si>
  <si>
    <t>Zambia</t>
  </si>
  <si>
    <t>Virgin Islands, U.S.</t>
  </si>
  <si>
    <t>Greenland</t>
  </si>
  <si>
    <t>Armenia</t>
  </si>
  <si>
    <t>Gambia</t>
  </si>
  <si>
    <t>Iraq</t>
  </si>
  <si>
    <t>Hungary</t>
  </si>
  <si>
    <t>Bahrain</t>
  </si>
  <si>
    <t>North Korea</t>
  </si>
  <si>
    <t>Brunei</t>
  </si>
  <si>
    <t>Kuwait</t>
  </si>
  <si>
    <t>Estonia</t>
  </si>
  <si>
    <t>Hong Kong</t>
  </si>
  <si>
    <t>Sri Lanka</t>
  </si>
  <si>
    <t>Liechtenstein</t>
  </si>
  <si>
    <t>Anguilla</t>
  </si>
  <si>
    <t>French Guiana</t>
  </si>
  <si>
    <t>Faroe Islands</t>
  </si>
  <si>
    <t>Senegal</t>
  </si>
  <si>
    <t>Nepal</t>
  </si>
  <si>
    <t>Tuvalu</t>
  </si>
  <si>
    <t>Madagascar</t>
  </si>
  <si>
    <t>Ethiopia</t>
  </si>
  <si>
    <t>New Zealand</t>
  </si>
  <si>
    <t>Slovakia</t>
  </si>
  <si>
    <t>Finland</t>
  </si>
  <si>
    <t>Tunisia</t>
  </si>
  <si>
    <t>Afghanistan</t>
  </si>
  <si>
    <t>Tonga</t>
  </si>
  <si>
    <t>Saint Vincent and the Grenadines</t>
  </si>
  <si>
    <t>Lithuania</t>
  </si>
  <si>
    <t>American Samoa</t>
  </si>
  <si>
    <t>Sales Variations per Geographic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</si>
</sst>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4" fillId="3" borderId="0" applyNumberFormat="0" applyBorder="0" applyAlignment="0" applyProtection="0"/>
  </cellStyleXfs>
  <cellXfs count="31">
    <xf numFmtId="0" fontId="0" fillId="0" borderId="0" xfId="0"/>
    <xf numFmtId="0" fontId="2" fillId="0" borderId="0" xfId="0" applyFont="1" applyBorder="1" applyAlignment="1">
      <alignment vertical="center"/>
    </xf>
    <xf numFmtId="0" fontId="1" fillId="0" borderId="0" xfId="0" applyFont="1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7" fillId="0" borderId="4" xfId="3"/>
    <xf numFmtId="0" fontId="6" fillId="0" borderId="3" xfId="2"/>
    <xf numFmtId="0" fontId="5" fillId="2" borderId="2" xfId="1" applyFill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4" fillId="3" borderId="0" xfId="4"/>
    <xf numFmtId="0" fontId="5" fillId="0" borderId="2" xfId="1"/>
    <xf numFmtId="0" fontId="1" fillId="0" borderId="11" xfId="0" applyFont="1" applyBorder="1"/>
    <xf numFmtId="0" fontId="0" fillId="0" borderId="12" xfId="0" applyBorder="1"/>
    <xf numFmtId="0" fontId="0" fillId="0" borderId="5" xfId="0" applyBorder="1" applyAlignment="1"/>
    <xf numFmtId="0" fontId="0" fillId="0" borderId="6" xfId="0" applyBorder="1" applyAlignment="1"/>
    <xf numFmtId="0" fontId="1" fillId="0" borderId="7" xfId="0" applyFont="1" applyBorder="1" applyAlignment="1"/>
    <xf numFmtId="0" fontId="1" fillId="0" borderId="11" xfId="0" applyFont="1" applyBorder="1" applyAlignment="1"/>
    <xf numFmtId="0" fontId="1" fillId="0" borderId="8" xfId="0" applyFont="1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10" xfId="0" applyBorder="1" applyAlignment="1"/>
    <xf numFmtId="0" fontId="1" fillId="0" borderId="12" xfId="0" applyFont="1" applyBorder="1"/>
  </cellXfs>
  <cellStyles count="5">
    <cellStyle name="20% - Accent6" xfId="4" builtinId="50"/>
    <cellStyle name="Heading 1" xfId="1" builtinId="16"/>
    <cellStyle name="Heading 2" xfId="2" builtinId="17"/>
    <cellStyle name="Heading 3" xfId="3" builtinId="18"/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Countries - customer #'!$B$5</c:f>
              <c:strCache>
                <c:ptCount val="1"/>
                <c:pt idx="0">
                  <c:v>"customer_count"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Countries - customer #'!$A$6:$A$15</c:f>
              <c:strCache>
                <c:ptCount val="10"/>
                <c:pt idx="0">
                  <c:v>"India" </c:v>
                </c:pt>
                <c:pt idx="1">
                  <c:v>"China" </c:v>
                </c:pt>
                <c:pt idx="2">
                  <c:v>"United States" </c:v>
                </c:pt>
                <c:pt idx="3">
                  <c:v>"Japan" </c:v>
                </c:pt>
                <c:pt idx="4">
                  <c:v>"Mexico" </c:v>
                </c:pt>
                <c:pt idx="5">
                  <c:v>"Brazil" </c:v>
                </c:pt>
                <c:pt idx="6">
                  <c:v>"Russian Federation" </c:v>
                </c:pt>
                <c:pt idx="7">
                  <c:v>"Philippines" </c:v>
                </c:pt>
                <c:pt idx="8">
                  <c:v>"Turkey" </c:v>
                </c:pt>
                <c:pt idx="9">
                  <c:v>"Indonesia" </c:v>
                </c:pt>
              </c:strCache>
            </c:strRef>
          </c:cat>
          <c:val>
            <c:numRef>
              <c:f>'Top 10 Countries - customer #'!$B$6:$B$15</c:f>
              <c:numCache>
                <c:formatCode>General</c:formatCode>
                <c:ptCount val="10"/>
                <c:pt idx="0">
                  <c:v>60</c:v>
                </c:pt>
                <c:pt idx="1">
                  <c:v>53</c:v>
                </c:pt>
                <c:pt idx="2">
                  <c:v>36</c:v>
                </c:pt>
                <c:pt idx="3">
                  <c:v>31</c:v>
                </c:pt>
                <c:pt idx="4">
                  <c:v>30</c:v>
                </c:pt>
                <c:pt idx="5">
                  <c:v>28</c:v>
                </c:pt>
                <c:pt idx="6">
                  <c:v>28</c:v>
                </c:pt>
                <c:pt idx="7">
                  <c:v>20</c:v>
                </c:pt>
                <c:pt idx="8">
                  <c:v>15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5-4F78-A75C-2D3FBF8FC6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59867823"/>
        <c:axId val="759866383"/>
      </c:barChart>
      <c:catAx>
        <c:axId val="75986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866383"/>
        <c:crosses val="autoZero"/>
        <c:auto val="1"/>
        <c:lblAlgn val="ctr"/>
        <c:lblOffset val="100"/>
        <c:noMultiLvlLbl val="0"/>
      </c:catAx>
      <c:valAx>
        <c:axId val="7598663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986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Cities of the prev. sel.'!$C$4</c:f>
              <c:strCache>
                <c:ptCount val="1"/>
                <c:pt idx="0">
                  <c:v>"customer_count"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'Top 10 Cities of the prev. sel.'!$A$5:$B$14</c:f>
              <c:multiLvlStrCache>
                <c:ptCount val="10"/>
                <c:lvl>
                  <c:pt idx="0">
                    <c:v>"United States" </c:v>
                  </c:pt>
                  <c:pt idx="1">
                    <c:v>"Mexico" </c:v>
                  </c:pt>
                  <c:pt idx="2">
                    <c:v>"China" </c:v>
                  </c:pt>
                  <c:pt idx="3">
                    <c:v>"India" </c:v>
                  </c:pt>
                  <c:pt idx="4">
                    <c:v>"India" </c:v>
                  </c:pt>
                  <c:pt idx="5">
                    <c:v>"Japan" </c:v>
                  </c:pt>
                  <c:pt idx="6">
                    <c:v>"China" </c:v>
                  </c:pt>
                  <c:pt idx="7">
                    <c:v>"Turkey" </c:v>
                  </c:pt>
                  <c:pt idx="8">
                    <c:v>"Mexico" </c:v>
                  </c:pt>
                  <c:pt idx="9">
                    <c:v>"Brazil" </c:v>
                  </c:pt>
                </c:lvl>
                <c:lvl>
                  <c:pt idx="0">
                    <c:v>"Aurora" </c:v>
                  </c:pt>
                  <c:pt idx="1">
                    <c:v>"Atlixco" </c:v>
                  </c:pt>
                  <c:pt idx="2">
                    <c:v>"Xintai" </c:v>
                  </c:pt>
                  <c:pt idx="3">
                    <c:v>"Adoni" </c:v>
                  </c:pt>
                  <c:pt idx="4">
                    <c:v>"Dhule (Dhulia)" </c:v>
                  </c:pt>
                  <c:pt idx="5">
                    <c:v>"Kurashiki" </c:v>
                  </c:pt>
                  <c:pt idx="6">
                    <c:v>"Pingxiang" </c:v>
                  </c:pt>
                  <c:pt idx="7">
                    <c:v>"Sivas" </c:v>
                  </c:pt>
                  <c:pt idx="8">
                    <c:v>"Celaya" </c:v>
                  </c:pt>
                  <c:pt idx="9">
                    <c:v>"So Leopoldo" </c:v>
                  </c:pt>
                </c:lvl>
              </c:multiLvlStrCache>
            </c:multiLvlStrRef>
          </c:cat>
          <c:val>
            <c:numRef>
              <c:f>'Top 10 Cities of the prev. sel.'!$C$5:$C$14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C-4E40-A690-AEB1469C19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59859183"/>
        <c:axId val="759859663"/>
      </c:barChart>
      <c:catAx>
        <c:axId val="75985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859663"/>
        <c:crosses val="autoZero"/>
        <c:auto val="1"/>
        <c:lblAlgn val="ctr"/>
        <c:lblOffset val="100"/>
        <c:noMultiLvlLbl val="0"/>
      </c:catAx>
      <c:valAx>
        <c:axId val="759859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985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>
        <c:manualLayout>
          <c:xMode val="edge"/>
          <c:yMode val="edge"/>
          <c:x val="0.4250400703306435"/>
          <c:y val="2.07733351071544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Customers of prev. sel.'!$F$4</c:f>
              <c:strCache>
                <c:ptCount val="1"/>
                <c:pt idx="0">
                  <c:v>"total_amount_p
aid"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'Top 5 Customers of prev. sel.'!$A$5:$E$9</c:f>
              <c:multiLvlStrCache>
                <c:ptCount val="5"/>
                <c:lvl>
                  <c:pt idx="0">
                    <c:v>"Mexico
"</c:v>
                  </c:pt>
                  <c:pt idx="1">
                    <c:v>"Turkey" </c:v>
                  </c:pt>
                  <c:pt idx="2">
                    <c:v>"Mexico
"</c:v>
                  </c:pt>
                  <c:pt idx="3">
                    <c:v>"United
States"</c:v>
                  </c:pt>
                  <c:pt idx="4">
                    <c:v>"India" </c:v>
                  </c:pt>
                </c:lvl>
                <c:lvl>
                  <c:pt idx="0">
                    <c:v>"Atlixc
o"</c:v>
                  </c:pt>
                  <c:pt idx="1">
                    <c:v>"Sivas" </c:v>
                  </c:pt>
                  <c:pt idx="2">
                    <c:v>"Celay
a"</c:v>
                  </c:pt>
                  <c:pt idx="3">
                    <c:v>"Aurora
"</c:v>
                  </c:pt>
                  <c:pt idx="4">
                    <c:v>"Adoni
"</c:v>
                  </c:pt>
                </c:lvl>
                <c:lvl>
                  <c:pt idx="0">
                    <c:v>"Perry" </c:v>
                  </c:pt>
                  <c:pt idx="1">
                    <c:v>"Harder" </c:v>
                  </c:pt>
                  <c:pt idx="2">
                    <c:v>"Stanfield" </c:v>
                  </c:pt>
                  <c:pt idx="3">
                    <c:v>"Buford" </c:v>
                  </c:pt>
                  <c:pt idx="4">
                    <c:v>"Gooch" </c:v>
                  </c:pt>
                </c:lvl>
                <c:lvl>
                  <c:pt idx="0">
                    <c:v>"Sara" </c:v>
                  </c:pt>
                  <c:pt idx="1">
                    <c:v>"Gabriel" </c:v>
                  </c:pt>
                  <c:pt idx="2">
                    <c:v>"Sergio" </c:v>
                  </c:pt>
                  <c:pt idx="3">
                    <c:v>"Clinton" </c:v>
                  </c:pt>
                  <c:pt idx="4">
                    <c:v>"Adam" </c:v>
                  </c:pt>
                </c:lvl>
                <c:lvl>
                  <c:pt idx="0">
                    <c:v>84</c:v>
                  </c:pt>
                  <c:pt idx="1">
                    <c:v>518</c:v>
                  </c:pt>
                  <c:pt idx="2">
                    <c:v>587</c:v>
                  </c:pt>
                  <c:pt idx="3">
                    <c:v>537</c:v>
                  </c:pt>
                  <c:pt idx="4">
                    <c:v>367</c:v>
                  </c:pt>
                </c:lvl>
              </c:multiLvlStrCache>
            </c:multiLvlStrRef>
          </c:cat>
          <c:val>
            <c:numRef>
              <c:f>'Top 5 Customers of prev. sel.'!$F$5:$F$9</c:f>
              <c:numCache>
                <c:formatCode>General</c:formatCode>
                <c:ptCount val="5"/>
                <c:pt idx="0">
                  <c:v>128.69999999999999</c:v>
                </c:pt>
                <c:pt idx="1">
                  <c:v>108.75</c:v>
                </c:pt>
                <c:pt idx="2">
                  <c:v>102.76</c:v>
                </c:pt>
                <c:pt idx="3">
                  <c:v>98.76</c:v>
                </c:pt>
                <c:pt idx="4">
                  <c:v>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6-4588-8C32-6652AD74D3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01605919"/>
        <c:axId val="701609279"/>
      </c:barChart>
      <c:catAx>
        <c:axId val="70160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609279"/>
        <c:crosses val="autoZero"/>
        <c:auto val="1"/>
        <c:lblAlgn val="ctr"/>
        <c:lblOffset val="100"/>
        <c:noMultiLvlLbl val="0"/>
      </c:catAx>
      <c:valAx>
        <c:axId val="7016092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160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variation per country'!$E$2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variation per country'!$D$3:$D$13</c:f>
              <c:strCache>
                <c:ptCount val="11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  <c:pt idx="10">
                  <c:v>Nigeria</c:v>
                </c:pt>
              </c:strCache>
            </c:strRef>
          </c:cat>
          <c:val>
            <c:numRef>
              <c:f>'Sales variation per country'!$E$3:$E$13</c:f>
              <c:numCache>
                <c:formatCode>General</c:formatCode>
                <c:ptCount val="11"/>
                <c:pt idx="0">
                  <c:v>6032.79</c:v>
                </c:pt>
                <c:pt idx="1">
                  <c:v>5247.04</c:v>
                </c:pt>
                <c:pt idx="2">
                  <c:v>3694.27</c:v>
                </c:pt>
                <c:pt idx="3">
                  <c:v>3121.52</c:v>
                </c:pt>
                <c:pt idx="4">
                  <c:v>2984.82</c:v>
                </c:pt>
                <c:pt idx="5">
                  <c:v>2919.19</c:v>
                </c:pt>
                <c:pt idx="6">
                  <c:v>2765.62</c:v>
                </c:pt>
                <c:pt idx="7">
                  <c:v>2219.6999999999998</c:v>
                </c:pt>
                <c:pt idx="8">
                  <c:v>1498.49</c:v>
                </c:pt>
                <c:pt idx="9">
                  <c:v>1352.69</c:v>
                </c:pt>
                <c:pt idx="10">
                  <c:v>1314.92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A82-9090-6EFF316197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80785247"/>
        <c:axId val="631272687"/>
      </c:barChart>
      <c:catAx>
        <c:axId val="78078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72687"/>
        <c:crosses val="autoZero"/>
        <c:auto val="1"/>
        <c:lblAlgn val="ctr"/>
        <c:lblOffset val="100"/>
        <c:noMultiLvlLbl val="0"/>
      </c:catAx>
      <c:valAx>
        <c:axId val="631272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078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601807</xdr:colOff>
      <xdr:row>3</xdr:row>
      <xdr:rowOff>4156</xdr:rowOff>
    </xdr:from>
    <xdr:to>
      <xdr:col>11</xdr:col>
      <xdr:colOff>324716</xdr:colOff>
      <xdr:row>17</xdr:row>
      <xdr:rowOff>142009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67B39-20BF-3D20-F233-C86172DC2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115513</xdr:colOff>
      <xdr:row>2</xdr:row>
      <xdr:rowOff>224443</xdr:rowOff>
    </xdr:from>
    <xdr:to>
      <xdr:col>16</xdr:col>
      <xdr:colOff>363682</xdr:colOff>
      <xdr:row>18</xdr:row>
      <xdr:rowOff>152053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D7DD2-A369-D151-504A-91115996F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53859</xdr:colOff>
      <xdr:row>9</xdr:row>
      <xdr:rowOff>167813</xdr:rowOff>
    </xdr:from>
    <xdr:to>
      <xdr:col>9</xdr:col>
      <xdr:colOff>121228</xdr:colOff>
      <xdr:row>30</xdr:row>
      <xdr:rowOff>11603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07B487-8417-ADA7-DAD5-5C9911A55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238124</xdr:colOff>
      <xdr:row>1</xdr:row>
      <xdr:rowOff>18097</xdr:rowOff>
    </xdr:from>
    <xdr:to>
      <xdr:col>12</xdr:col>
      <xdr:colOff>581024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9D762C-46DC-523B-4A5B-9B34CF756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F16DCB-7F02-4E33-9BE9-C3A620994C5F}" name="Table11" displayName="Table11" ref="A21:B57" totalsRowShown="0" tableBorderDxfId="8">
  <autoFilter ref="A21:B57" xr:uid="{FFF16DCB-7F02-4E33-9BE9-C3A620994C5F}"/>
  <tableColumns count="2">
    <tableColumn id="1" xr3:uid="{6A5E69AE-F198-42AD-B26F-3039F979960E}" name="Descriptive Statistics" dataDxfId="7"/>
    <tableColumn id="2" xr3:uid="{D2F7933C-58F6-4515-8519-DFC132D9C35A}" name="Column1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E5A904-BA2B-4B39-BB0E-37D0AE03DE0C}" name="Table12" displayName="Table12" ref="A4:B17" totalsRowShown="0" headerRowDxfId="0" headerRowBorderDxfId="4" tableBorderDxfId="5" totalsRowBorderDxfId="3">
  <autoFilter ref="A4:B17" xr:uid="{DCE5A904-BA2B-4B39-BB0E-37D0AE03DE0C}"/>
  <tableColumns count="2">
    <tableColumn id="1" xr3:uid="{751CF76F-23B1-4700-A834-02277AA64536}" name="column_name" dataDxfId="2"/>
    <tableColumn id="2" xr3:uid="{66F1E69D-5787-4814-A92D-8B6F29F98979}" name="data_type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78721D-A48F-4E11-BE52-EC7E4ACA8D70}" name="Table6" displayName="Table6" ref="A4:B14" totalsRowShown="0">
  <autoFilter ref="A4:B14" xr:uid="{5678721D-A48F-4E11-BE52-EC7E4ACA8D70}"/>
  <tableColumns count="2">
    <tableColumn id="1" xr3:uid="{24F019F7-FB5E-4316-BFB6-FB9079F09990}" name="column_name"/>
    <tableColumn id="2" xr3:uid="{41A17C9D-13FF-435A-807B-772280AA0EC0}" name="data_typ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6CA2A-42AE-4317-B0D4-E132A8B917DC}" name="Table1" displayName="Table1" ref="A5:B15" totalsRowShown="0" headerRowDxfId="27" headerRowBorderDxfId="31" tableBorderDxfId="32" totalsRowBorderDxfId="30">
  <autoFilter ref="A5:B15" xr:uid="{B726CA2A-42AE-4317-B0D4-E132A8B917DC}"/>
  <tableColumns count="2">
    <tableColumn id="1" xr3:uid="{D4581D8C-760A-44F6-98C5-0091308206D0}" name="&quot;country_name&quot; " dataDxfId="29"/>
    <tableColumn id="2" xr3:uid="{A8E2CAE4-2813-4A45-914E-295E70A672EB}" name="&quot;customer_count&quot;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FC50B-1EF8-4F24-AFA6-2C7A0109B791}" name="Table2" displayName="Table2" ref="A4:C14" totalsRowShown="0" headerRowDxfId="20" headerRowBorderDxfId="25" tableBorderDxfId="26" totalsRowBorderDxfId="24">
  <autoFilter ref="A4:C14" xr:uid="{989FC50B-1EF8-4F24-AFA6-2C7A0109B791}"/>
  <tableColumns count="3">
    <tableColumn id="1" xr3:uid="{231ED9DA-92C8-4CF0-95D8-43D38A147DFD}" name="&quot;city_name&quot; " dataDxfId="23"/>
    <tableColumn id="2" xr3:uid="{5C418BB7-A0BE-42A6-91E0-90A922B9B367}" name="&quot;country&quot; " dataDxfId="22"/>
    <tableColumn id="3" xr3:uid="{FEBBC217-B354-46BC-A3BA-267C47680FE6}" name="&quot;customer_count&quot;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E6E2EE-6ABB-4808-B34D-9130CF566D17}" name="Table3" displayName="Table3" ref="A4:F9" totalsRowShown="0" headerRowDxfId="9" dataDxfId="10" headerRowBorderDxfId="18" tableBorderDxfId="19" totalsRowBorderDxfId="17">
  <autoFilter ref="A4:F9" xr:uid="{92E6E2EE-6ABB-4808-B34D-9130CF566D17}"/>
  <tableColumns count="6">
    <tableColumn id="1" xr3:uid="{EB546E68-9A26-4894-A915-25F4DEEA2D85}" name="&quot;customer_i_x000a_d&quot;" dataDxfId="16"/>
    <tableColumn id="2" xr3:uid="{FDBC4835-99F3-47FA-BBC0-DB8318EC8322}" name="&quot;first_nam_x000a_e&quot;" dataDxfId="15"/>
    <tableColumn id="3" xr3:uid="{46F62CA8-823E-498C-B794-1CA4F3A29CFA}" name="&quot;last_nam_x000a_e&quot;" dataDxfId="14"/>
    <tableColumn id="4" xr3:uid="{847B1A91-1145-4C54-AA8A-340BA112C1B3}" name="&quot;city&quot; " dataDxfId="13"/>
    <tableColumn id="5" xr3:uid="{66E9A80A-294E-44A6-BCD6-6F3740E55026}" name="&quot;countr_x000a_y&quot;" dataDxfId="12"/>
    <tableColumn id="6" xr3:uid="{FF00F0E5-A776-4654-BA8E-B9EDACA6D2D8}" name="&quot;total_amount_p_x000a_aid&quot;" dataDxf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DCEE57-6477-4A1E-80C0-9F1798CFE0D1}" name="Table4" displayName="Table4" ref="D2:E7" totalsRowShown="0">
  <autoFilter ref="D2:E7" xr:uid="{08DCEE57-6477-4A1E-80C0-9F1798CFE0D1}"/>
  <tableColumns count="2">
    <tableColumn id="1" xr3:uid="{4C91E721-E26C-4B76-A2D9-7935B4845DBD}" name="rating"/>
    <tableColumn id="2" xr3:uid="{98E623BF-B8B2-4BD8-BF8C-0752DC664F3A}" name="total_revenu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3C6822-D0C2-4525-9254-BC4B149A1F02}" name="Table5" displayName="Table5" ref="D4:F20" totalsRowShown="0">
  <autoFilter ref="D4:F20" xr:uid="{0B3C6822-D0C2-4525-9254-BC4B149A1F02}"/>
  <tableColumns count="3">
    <tableColumn id="1" xr3:uid="{C8F91B87-0F44-49ED-89B0-2B9EF6A59C90}" name="category"/>
    <tableColumn id="2" xr3:uid="{FBF38A77-37FF-4CCC-B442-27B5EF285164}" name="rental_count"/>
    <tableColumn id="3" xr3:uid="{9361FB36-DB3B-431B-B671-E98FA39ECEC3}" name="total_revenue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5125BC9-E332-40D6-8C06-F42ECD8BBFEA}" name="Table13" displayName="Table13" ref="D2:E110" totalsRowShown="0">
  <autoFilter ref="D2:E110" xr:uid="{C5125BC9-E332-40D6-8C06-F42ECD8BBFEA}"/>
  <tableColumns count="2">
    <tableColumn id="1" xr3:uid="{4B39A3E2-051F-4531-BB23-93C9456B2000}" name="country_name"/>
    <tableColumn id="2" xr3:uid="{CE6801A1-0C99-4E51-B83E-E09AF298D602}" name="total_sal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2DE7-516C-4378-BA85-7DEFA1451567}">
  <sheetPr>
    <tabColor theme="9" tint="0.39997558519241921"/>
  </sheetPr>
  <dimension ref="A1:F69"/>
  <sheetViews>
    <sheetView workbookViewId="0"/>
  </sheetViews>
  <sheetFormatPr defaultRowHeight="14.4" x14ac:dyDescent="0.3"/>
  <cols>
    <col min="1" max="1" width="22.21875" bestFit="1" customWidth="1"/>
    <col min="2" max="2" width="26.109375" bestFit="1" customWidth="1"/>
    <col min="4" max="4" width="94.33203125" bestFit="1" customWidth="1"/>
  </cols>
  <sheetData>
    <row r="1" spans="1:4" s="19" customFormat="1" ht="20.399999999999999" thickBot="1" x14ac:dyDescent="0.45">
      <c r="A1" s="19" t="s">
        <v>340</v>
      </c>
    </row>
    <row r="2" spans="1:4" ht="18.600000000000001" thickTop="1" thickBot="1" x14ac:dyDescent="0.4">
      <c r="A2" s="10" t="s">
        <v>34</v>
      </c>
    </row>
    <row r="3" spans="1:4" ht="15.6" thickTop="1" thickBot="1" x14ac:dyDescent="0.35">
      <c r="A3" s="9" t="s">
        <v>0</v>
      </c>
    </row>
    <row r="4" spans="1:4" ht="18" thickBot="1" x14ac:dyDescent="0.4">
      <c r="A4" s="14" t="s">
        <v>1</v>
      </c>
      <c r="B4" s="15" t="s">
        <v>2</v>
      </c>
      <c r="D4" s="10" t="s">
        <v>33</v>
      </c>
    </row>
    <row r="5" spans="1:4" ht="15" thickTop="1" x14ac:dyDescent="0.3">
      <c r="A5" s="12" t="s">
        <v>3</v>
      </c>
      <c r="B5" s="13" t="s">
        <v>4</v>
      </c>
      <c r="D5" s="18" t="s">
        <v>25</v>
      </c>
    </row>
    <row r="6" spans="1:4" x14ac:dyDescent="0.3">
      <c r="A6" s="12" t="s">
        <v>5</v>
      </c>
      <c r="B6" s="13" t="s">
        <v>6</v>
      </c>
      <c r="D6" s="18" t="s">
        <v>26</v>
      </c>
    </row>
    <row r="7" spans="1:4" x14ac:dyDescent="0.3">
      <c r="A7" s="12" t="s">
        <v>7</v>
      </c>
      <c r="B7" s="13" t="s">
        <v>8</v>
      </c>
      <c r="D7" s="18" t="s">
        <v>2</v>
      </c>
    </row>
    <row r="8" spans="1:4" x14ac:dyDescent="0.3">
      <c r="A8" s="12" t="s">
        <v>9</v>
      </c>
      <c r="B8" s="13" t="s">
        <v>4</v>
      </c>
      <c r="D8" s="18" t="s">
        <v>27</v>
      </c>
    </row>
    <row r="9" spans="1:4" x14ac:dyDescent="0.3">
      <c r="A9" s="12" t="s">
        <v>10</v>
      </c>
      <c r="B9" s="13" t="s">
        <v>11</v>
      </c>
      <c r="D9" s="18" t="s">
        <v>28</v>
      </c>
    </row>
    <row r="10" spans="1:4" x14ac:dyDescent="0.3">
      <c r="A10" s="12" t="s">
        <v>12</v>
      </c>
      <c r="B10" s="13" t="s">
        <v>11</v>
      </c>
      <c r="D10" s="18" t="s">
        <v>29</v>
      </c>
    </row>
    <row r="11" spans="1:4" x14ac:dyDescent="0.3">
      <c r="A11" s="12" t="s">
        <v>13</v>
      </c>
      <c r="B11" s="13" t="s">
        <v>14</v>
      </c>
      <c r="D11" s="18" t="s">
        <v>30</v>
      </c>
    </row>
    <row r="12" spans="1:4" x14ac:dyDescent="0.3">
      <c r="A12" s="12" t="s">
        <v>15</v>
      </c>
      <c r="B12" s="13" t="s">
        <v>11</v>
      </c>
      <c r="D12" s="18" t="s">
        <v>31</v>
      </c>
    </row>
    <row r="13" spans="1:4" x14ac:dyDescent="0.3">
      <c r="A13" s="12" t="s">
        <v>16</v>
      </c>
      <c r="B13" s="13" t="s">
        <v>14</v>
      </c>
      <c r="D13" s="18" t="s">
        <v>32</v>
      </c>
    </row>
    <row r="14" spans="1:4" x14ac:dyDescent="0.3">
      <c r="A14" s="12" t="s">
        <v>17</v>
      </c>
      <c r="B14" s="13" t="s">
        <v>18</v>
      </c>
    </row>
    <row r="15" spans="1:4" x14ac:dyDescent="0.3">
      <c r="A15" s="12" t="s">
        <v>19</v>
      </c>
      <c r="B15" s="13" t="s">
        <v>20</v>
      </c>
    </row>
    <row r="16" spans="1:4" x14ac:dyDescent="0.3">
      <c r="A16" s="12" t="s">
        <v>21</v>
      </c>
      <c r="B16" s="13" t="s">
        <v>22</v>
      </c>
    </row>
    <row r="17" spans="1:6" x14ac:dyDescent="0.3">
      <c r="A17" s="16" t="s">
        <v>23</v>
      </c>
      <c r="B17" s="17" t="s">
        <v>24</v>
      </c>
    </row>
    <row r="19" spans="1:6" ht="18" thickBot="1" x14ac:dyDescent="0.4">
      <c r="D19" s="10" t="s">
        <v>33</v>
      </c>
    </row>
    <row r="20" spans="1:6" ht="18.600000000000001" thickTop="1" thickBot="1" x14ac:dyDescent="0.4">
      <c r="A20" s="10" t="s">
        <v>34</v>
      </c>
      <c r="D20" s="18" t="e" cm="1">
        <f t="array" ref="D20">-- summarizing of data table</f>
        <v>#NAME?</v>
      </c>
    </row>
    <row r="21" spans="1:6" ht="15.6" thickTop="1" thickBot="1" x14ac:dyDescent="0.35">
      <c r="A21" s="9" t="s">
        <v>77</v>
      </c>
      <c r="B21" t="s">
        <v>339</v>
      </c>
      <c r="D21" s="18"/>
    </row>
    <row r="22" spans="1:6" ht="15.6" x14ac:dyDescent="0.3">
      <c r="A22" s="4" t="s">
        <v>35</v>
      </c>
      <c r="B22" s="5">
        <v>1000</v>
      </c>
      <c r="D22" s="18" t="e" cm="1">
        <f t="array" ref="D22">-- Enable tablefunc extension if needed</f>
        <v>#NAME?</v>
      </c>
      <c r="F22" s="1"/>
    </row>
    <row r="23" spans="1:6" x14ac:dyDescent="0.3">
      <c r="A23" s="4" t="s">
        <v>36</v>
      </c>
      <c r="B23" s="5">
        <v>1000</v>
      </c>
      <c r="D23" s="18" t="s">
        <v>78</v>
      </c>
    </row>
    <row r="24" spans="1:6" x14ac:dyDescent="0.3">
      <c r="A24" s="4" t="s">
        <v>37</v>
      </c>
      <c r="B24" s="5">
        <v>1</v>
      </c>
      <c r="D24" s="18" t="s">
        <v>25</v>
      </c>
    </row>
    <row r="25" spans="1:6" x14ac:dyDescent="0.3">
      <c r="A25" s="4" t="s">
        <v>38</v>
      </c>
      <c r="B25" s="5">
        <v>1000</v>
      </c>
      <c r="D25" s="18" t="e" cm="1">
        <f t="array" ref="D25">-- Total row count</f>
        <v>#NAME?</v>
      </c>
    </row>
    <row r="26" spans="1:6" x14ac:dyDescent="0.3">
      <c r="A26" s="4" t="s">
        <v>39</v>
      </c>
      <c r="B26" s="5">
        <v>1</v>
      </c>
      <c r="D26" s="18" t="s">
        <v>79</v>
      </c>
    </row>
    <row r="27" spans="1:6" ht="15.6" x14ac:dyDescent="0.3">
      <c r="A27" s="7" t="s">
        <v>40</v>
      </c>
      <c r="B27" s="5">
        <v>1000</v>
      </c>
      <c r="D27" s="18" t="s">
        <v>80</v>
      </c>
    </row>
    <row r="28" spans="1:6" x14ac:dyDescent="0.3">
      <c r="A28" s="4" t="s">
        <v>41</v>
      </c>
      <c r="B28" s="5">
        <v>2006</v>
      </c>
      <c r="D28" s="18" t="s">
        <v>81</v>
      </c>
    </row>
    <row r="29" spans="1:6" x14ac:dyDescent="0.3">
      <c r="A29" s="4" t="s">
        <v>42</v>
      </c>
      <c r="B29" s="5">
        <v>2006</v>
      </c>
      <c r="D29" s="18" t="s">
        <v>82</v>
      </c>
    </row>
    <row r="30" spans="1:6" x14ac:dyDescent="0.3">
      <c r="A30" s="4" t="s">
        <v>43</v>
      </c>
      <c r="B30" s="5">
        <v>2006</v>
      </c>
      <c r="D30" s="18" t="s">
        <v>83</v>
      </c>
    </row>
    <row r="31" spans="1:6" x14ac:dyDescent="0.3">
      <c r="A31" s="4" t="s">
        <v>44</v>
      </c>
      <c r="B31" s="5">
        <v>2006</v>
      </c>
      <c r="D31" s="18" t="e" cm="1">
        <f t="array" ref="D31">-- release_year</f>
        <v>#NAME?</v>
      </c>
    </row>
    <row r="32" spans="1:6" x14ac:dyDescent="0.3">
      <c r="A32" s="4" t="s">
        <v>45</v>
      </c>
      <c r="B32" s="5">
        <v>1000</v>
      </c>
      <c r="D32" s="18" t="s">
        <v>84</v>
      </c>
    </row>
    <row r="33" spans="1:4" x14ac:dyDescent="0.3">
      <c r="A33" s="4" t="s">
        <v>46</v>
      </c>
      <c r="B33" s="5">
        <v>1</v>
      </c>
      <c r="D33" s="18" t="s">
        <v>85</v>
      </c>
    </row>
    <row r="34" spans="1:4" x14ac:dyDescent="0.3">
      <c r="A34" s="4" t="s">
        <v>47</v>
      </c>
      <c r="B34" s="5">
        <v>1</v>
      </c>
      <c r="D34" s="18" t="s">
        <v>86</v>
      </c>
    </row>
    <row r="35" spans="1:4" x14ac:dyDescent="0.3">
      <c r="A35" s="4" t="s">
        <v>48</v>
      </c>
      <c r="B35" s="5">
        <v>1</v>
      </c>
      <c r="D35" s="18" t="s">
        <v>87</v>
      </c>
    </row>
    <row r="36" spans="1:4" x14ac:dyDescent="0.3">
      <c r="A36" s="4" t="s">
        <v>49</v>
      </c>
      <c r="B36" s="5">
        <v>1000</v>
      </c>
      <c r="D36" s="18" t="s">
        <v>88</v>
      </c>
    </row>
    <row r="37" spans="1:4" x14ac:dyDescent="0.3">
      <c r="A37" s="4" t="s">
        <v>50</v>
      </c>
      <c r="B37" s="5">
        <v>3</v>
      </c>
      <c r="D37" s="18" t="e" cm="1">
        <f t="array" ref="D37">-- language_id</f>
        <v>#NAME?</v>
      </c>
    </row>
    <row r="38" spans="1:4" x14ac:dyDescent="0.3">
      <c r="A38" s="4" t="s">
        <v>51</v>
      </c>
      <c r="B38" s="5">
        <v>7</v>
      </c>
      <c r="D38" s="18" t="s">
        <v>89</v>
      </c>
    </row>
    <row r="39" spans="1:4" x14ac:dyDescent="0.3">
      <c r="A39" s="4" t="s">
        <v>52</v>
      </c>
      <c r="B39" s="5" t="s">
        <v>270</v>
      </c>
      <c r="D39" s="18" t="s">
        <v>90</v>
      </c>
    </row>
    <row r="40" spans="1:4" x14ac:dyDescent="0.3">
      <c r="A40" s="4" t="s">
        <v>53</v>
      </c>
      <c r="B40" s="5">
        <v>6</v>
      </c>
      <c r="D40" s="18" t="s">
        <v>91</v>
      </c>
    </row>
    <row r="41" spans="1:4" x14ac:dyDescent="0.3">
      <c r="A41" s="4" t="s">
        <v>54</v>
      </c>
      <c r="B41" s="5">
        <v>1000</v>
      </c>
      <c r="D41" s="18" t="s">
        <v>92</v>
      </c>
    </row>
    <row r="42" spans="1:4" x14ac:dyDescent="0.3">
      <c r="A42" s="4" t="s">
        <v>55</v>
      </c>
      <c r="B42" s="5" t="s">
        <v>71</v>
      </c>
      <c r="D42" s="18" t="e" cm="1">
        <f t="array" ref="D42">-- rental_duration</f>
        <v>#NAME?</v>
      </c>
    </row>
    <row r="43" spans="1:4" x14ac:dyDescent="0.3">
      <c r="A43" s="4" t="s">
        <v>56</v>
      </c>
      <c r="B43" s="5" t="s">
        <v>72</v>
      </c>
      <c r="D43" s="18" t="s">
        <v>93</v>
      </c>
    </row>
    <row r="44" spans="1:4" x14ac:dyDescent="0.3">
      <c r="A44" s="4" t="s">
        <v>57</v>
      </c>
      <c r="B44" s="5" t="s">
        <v>269</v>
      </c>
      <c r="D44" s="18" t="s">
        <v>94</v>
      </c>
    </row>
    <row r="45" spans="1:4" x14ac:dyDescent="0.3">
      <c r="A45" s="4" t="s">
        <v>58</v>
      </c>
      <c r="B45" s="5" t="s">
        <v>71</v>
      </c>
      <c r="D45" s="18" t="s">
        <v>95</v>
      </c>
    </row>
    <row r="46" spans="1:4" x14ac:dyDescent="0.3">
      <c r="A46" s="4" t="s">
        <v>59</v>
      </c>
      <c r="B46" s="5">
        <v>1000</v>
      </c>
      <c r="D46" s="18" t="s">
        <v>96</v>
      </c>
    </row>
    <row r="47" spans="1:4" x14ac:dyDescent="0.3">
      <c r="A47" s="4" t="s">
        <v>60</v>
      </c>
      <c r="B47" s="5">
        <v>46</v>
      </c>
      <c r="D47" s="18" t="s">
        <v>97</v>
      </c>
    </row>
    <row r="48" spans="1:4" x14ac:dyDescent="0.3">
      <c r="A48" s="4" t="s">
        <v>61</v>
      </c>
      <c r="B48" s="5">
        <v>185</v>
      </c>
      <c r="D48" s="18" t="e" cm="1">
        <f t="array" ref="D48">-- rental_rate</f>
        <v>#NAME?</v>
      </c>
    </row>
    <row r="49" spans="1:4" x14ac:dyDescent="0.3">
      <c r="A49" s="4" t="s">
        <v>62</v>
      </c>
      <c r="B49" s="5" t="s">
        <v>267</v>
      </c>
      <c r="D49" s="18" t="s">
        <v>98</v>
      </c>
    </row>
    <row r="50" spans="1:4" x14ac:dyDescent="0.3">
      <c r="A50" s="4" t="s">
        <v>63</v>
      </c>
      <c r="B50" s="5">
        <v>85</v>
      </c>
      <c r="D50" s="18" t="s">
        <v>99</v>
      </c>
    </row>
    <row r="51" spans="1:4" x14ac:dyDescent="0.3">
      <c r="A51" s="4" t="s">
        <v>64</v>
      </c>
      <c r="B51" s="5">
        <v>1000</v>
      </c>
      <c r="D51" s="18" t="s">
        <v>100</v>
      </c>
    </row>
    <row r="52" spans="1:4" x14ac:dyDescent="0.3">
      <c r="A52" s="4" t="s">
        <v>65</v>
      </c>
      <c r="B52" s="5" t="s">
        <v>73</v>
      </c>
      <c r="D52" s="18" t="s">
        <v>101</v>
      </c>
    </row>
    <row r="53" spans="1:4" x14ac:dyDescent="0.3">
      <c r="A53" s="4" t="s">
        <v>66</v>
      </c>
      <c r="B53" s="5" t="s">
        <v>74</v>
      </c>
      <c r="D53" s="18" t="s">
        <v>102</v>
      </c>
    </row>
    <row r="54" spans="1:4" x14ac:dyDescent="0.3">
      <c r="A54" s="4" t="s">
        <v>67</v>
      </c>
      <c r="B54" s="5" t="s">
        <v>268</v>
      </c>
      <c r="D54" s="18" t="e" cm="1">
        <f t="array" ref="D54">-- length</f>
        <v>#NAME?</v>
      </c>
    </row>
    <row r="55" spans="1:4" x14ac:dyDescent="0.3">
      <c r="A55" s="4" t="s">
        <v>68</v>
      </c>
      <c r="B55" s="5" t="s">
        <v>75</v>
      </c>
      <c r="D55" s="18" t="s">
        <v>103</v>
      </c>
    </row>
    <row r="56" spans="1:4" x14ac:dyDescent="0.3">
      <c r="A56" s="4" t="s">
        <v>69</v>
      </c>
      <c r="B56" s="5">
        <v>1000</v>
      </c>
      <c r="D56" s="18" t="s">
        <v>104</v>
      </c>
    </row>
    <row r="57" spans="1:4" x14ac:dyDescent="0.3">
      <c r="A57" s="30" t="s">
        <v>70</v>
      </c>
      <c r="B57" s="21" t="s">
        <v>76</v>
      </c>
      <c r="D57" s="18" t="s">
        <v>105</v>
      </c>
    </row>
    <row r="58" spans="1:4" x14ac:dyDescent="0.3">
      <c r="D58" s="18" t="s">
        <v>106</v>
      </c>
    </row>
    <row r="59" spans="1:4" x14ac:dyDescent="0.3">
      <c r="D59" s="18" t="s">
        <v>107</v>
      </c>
    </row>
    <row r="60" spans="1:4" x14ac:dyDescent="0.3">
      <c r="D60" s="18" t="e" cm="1">
        <f t="array" ref="D60">-- replacement_cost</f>
        <v>#NAME?</v>
      </c>
    </row>
    <row r="61" spans="1:4" x14ac:dyDescent="0.3">
      <c r="D61" s="18" t="s">
        <v>108</v>
      </c>
    </row>
    <row r="62" spans="1:4" x14ac:dyDescent="0.3">
      <c r="D62" s="18" t="s">
        <v>109</v>
      </c>
    </row>
    <row r="63" spans="1:4" x14ac:dyDescent="0.3">
      <c r="D63" s="18" t="s">
        <v>110</v>
      </c>
    </row>
    <row r="64" spans="1:4" x14ac:dyDescent="0.3">
      <c r="D64" s="18" t="s">
        <v>111</v>
      </c>
    </row>
    <row r="65" spans="4:4" x14ac:dyDescent="0.3">
      <c r="D65" s="18" t="s">
        <v>112</v>
      </c>
    </row>
    <row r="66" spans="4:4" x14ac:dyDescent="0.3">
      <c r="D66" s="18" t="e" cm="1">
        <f t="array" ref="D66">-- rating</f>
        <v>#NAME?</v>
      </c>
    </row>
    <row r="67" spans="4:4" x14ac:dyDescent="0.3">
      <c r="D67" s="18" t="s">
        <v>113</v>
      </c>
    </row>
    <row r="68" spans="4:4" x14ac:dyDescent="0.3">
      <c r="D68" s="18" t="s">
        <v>114</v>
      </c>
    </row>
    <row r="69" spans="4:4" x14ac:dyDescent="0.3">
      <c r="D69" s="18" t="s">
        <v>115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CB68-7AE1-4E85-9F67-AA8C09841FE5}">
  <sheetPr>
    <tabColor theme="9" tint="0.39997558519241921"/>
  </sheetPr>
  <dimension ref="A1:X58"/>
  <sheetViews>
    <sheetView topLeftCell="A4" workbookViewId="0"/>
  </sheetViews>
  <sheetFormatPr defaultRowHeight="14.4" x14ac:dyDescent="0.3"/>
  <cols>
    <col min="1" max="1" width="20.44140625" bestFit="1" customWidth="1"/>
    <col min="2" max="2" width="26.109375" bestFit="1" customWidth="1"/>
    <col min="7" max="7" width="67.33203125" bestFit="1" customWidth="1"/>
  </cols>
  <sheetData>
    <row r="1" spans="1:24" ht="20.399999999999999" thickBot="1" x14ac:dyDescent="0.45">
      <c r="A1" s="19" t="s">
        <v>341</v>
      </c>
    </row>
    <row r="2" spans="1:24" ht="18.600000000000001" thickTop="1" thickBot="1" x14ac:dyDescent="0.4">
      <c r="A2" s="10" t="s">
        <v>157</v>
      </c>
      <c r="G2" s="10" t="s">
        <v>33</v>
      </c>
    </row>
    <row r="3" spans="1:24" ht="15.6" thickTop="1" thickBot="1" x14ac:dyDescent="0.35">
      <c r="A3" s="9" t="s">
        <v>0</v>
      </c>
      <c r="G3" s="18" t="s">
        <v>25</v>
      </c>
    </row>
    <row r="4" spans="1:24" x14ac:dyDescent="0.3">
      <c r="A4" t="s">
        <v>1</v>
      </c>
      <c r="B4" t="s">
        <v>2</v>
      </c>
      <c r="G4" s="18" t="s">
        <v>26</v>
      </c>
    </row>
    <row r="5" spans="1:24" x14ac:dyDescent="0.3">
      <c r="A5" t="s">
        <v>116</v>
      </c>
      <c r="B5" t="s">
        <v>4</v>
      </c>
      <c r="G5" s="18" t="s">
        <v>2</v>
      </c>
    </row>
    <row r="6" spans="1:24" x14ac:dyDescent="0.3">
      <c r="A6" t="s">
        <v>117</v>
      </c>
      <c r="B6" t="s">
        <v>11</v>
      </c>
      <c r="G6" s="18" t="s">
        <v>27</v>
      </c>
    </row>
    <row r="7" spans="1:24" x14ac:dyDescent="0.3">
      <c r="A7" t="s">
        <v>118</v>
      </c>
      <c r="B7" t="s">
        <v>6</v>
      </c>
      <c r="G7" s="18" t="s">
        <v>28</v>
      </c>
    </row>
    <row r="8" spans="1:24" x14ac:dyDescent="0.3">
      <c r="A8" t="s">
        <v>119</v>
      </c>
      <c r="B8" t="s">
        <v>6</v>
      </c>
      <c r="G8" s="18" t="s">
        <v>29</v>
      </c>
    </row>
    <row r="9" spans="1:24" x14ac:dyDescent="0.3">
      <c r="A9" t="s">
        <v>120</v>
      </c>
      <c r="B9" t="s">
        <v>6</v>
      </c>
      <c r="G9" s="18" t="s">
        <v>186</v>
      </c>
    </row>
    <row r="10" spans="1:24" x14ac:dyDescent="0.3">
      <c r="A10" t="s">
        <v>121</v>
      </c>
      <c r="B10" t="s">
        <v>11</v>
      </c>
      <c r="G10" s="18" t="s">
        <v>31</v>
      </c>
    </row>
    <row r="11" spans="1:24" x14ac:dyDescent="0.3">
      <c r="A11" t="s">
        <v>122</v>
      </c>
      <c r="B11" t="s">
        <v>123</v>
      </c>
      <c r="G11" s="18" t="s">
        <v>32</v>
      </c>
    </row>
    <row r="12" spans="1:24" x14ac:dyDescent="0.3">
      <c r="A12" t="s">
        <v>124</v>
      </c>
      <c r="B12" t="s">
        <v>125</v>
      </c>
    </row>
    <row r="13" spans="1:24" x14ac:dyDescent="0.3">
      <c r="A13" t="s">
        <v>19</v>
      </c>
      <c r="B13" t="s">
        <v>20</v>
      </c>
    </row>
    <row r="14" spans="1:24" x14ac:dyDescent="0.3">
      <c r="A14" t="s">
        <v>126</v>
      </c>
      <c r="B14" t="s">
        <v>4</v>
      </c>
    </row>
    <row r="15" spans="1:24" x14ac:dyDescent="0.3">
      <c r="V15" s="3"/>
      <c r="W15" s="3"/>
      <c r="X15" s="3"/>
    </row>
    <row r="18" spans="1:7" ht="18" thickBot="1" x14ac:dyDescent="0.4">
      <c r="A18" s="10" t="s">
        <v>157</v>
      </c>
      <c r="G18" s="10" t="s">
        <v>33</v>
      </c>
    </row>
    <row r="19" spans="1:7" ht="15.6" thickTop="1" thickBot="1" x14ac:dyDescent="0.35">
      <c r="A19" s="9" t="s">
        <v>156</v>
      </c>
      <c r="G19" s="18" t="e" cm="1">
        <f t="array" ref="G19">-- summarizing of costumer table</f>
        <v>#NAME?</v>
      </c>
    </row>
    <row r="20" spans="1:7" x14ac:dyDescent="0.3">
      <c r="A20" s="4" t="s">
        <v>35</v>
      </c>
      <c r="B20" s="5">
        <v>599</v>
      </c>
      <c r="G20" s="18"/>
    </row>
    <row r="21" spans="1:7" x14ac:dyDescent="0.3">
      <c r="A21" s="4" t="s">
        <v>127</v>
      </c>
      <c r="B21" s="5">
        <v>599</v>
      </c>
      <c r="G21" s="18" t="e" cm="1">
        <f t="array" ref="G21">-- Ensure the mode function is available</f>
        <v>#NAME?</v>
      </c>
    </row>
    <row r="22" spans="1:7" x14ac:dyDescent="0.3">
      <c r="A22" s="4" t="s">
        <v>128</v>
      </c>
      <c r="B22" s="5">
        <v>1</v>
      </c>
      <c r="G22" s="18" t="s">
        <v>78</v>
      </c>
    </row>
    <row r="23" spans="1:7" x14ac:dyDescent="0.3">
      <c r="A23" s="4" t="s">
        <v>129</v>
      </c>
      <c r="B23" s="5">
        <v>599</v>
      </c>
      <c r="G23" s="18" t="s">
        <v>25</v>
      </c>
    </row>
    <row r="24" spans="1:7" x14ac:dyDescent="0.3">
      <c r="A24" s="4" t="s">
        <v>130</v>
      </c>
      <c r="B24" s="5">
        <v>1</v>
      </c>
      <c r="G24" s="18" t="e" cm="1">
        <f t="array" ref="G24">-- Total number of records</f>
        <v>#NAME?</v>
      </c>
    </row>
    <row r="25" spans="1:7" x14ac:dyDescent="0.3">
      <c r="A25" s="4" t="s">
        <v>131</v>
      </c>
      <c r="B25" s="5">
        <v>599</v>
      </c>
      <c r="G25" s="18" t="s">
        <v>158</v>
      </c>
    </row>
    <row r="26" spans="1:7" x14ac:dyDescent="0.3">
      <c r="A26" s="4" t="s">
        <v>132</v>
      </c>
      <c r="B26" s="5">
        <v>1</v>
      </c>
      <c r="G26" s="18" t="e" cm="1">
        <f t="array" ref="G26">-- customer_id</f>
        <v>#NAME?</v>
      </c>
    </row>
    <row r="27" spans="1:7" x14ac:dyDescent="0.3">
      <c r="A27" s="4" t="s">
        <v>133</v>
      </c>
      <c r="B27" s="5">
        <v>2</v>
      </c>
      <c r="G27" s="18" t="s">
        <v>159</v>
      </c>
    </row>
    <row r="28" spans="1:7" x14ac:dyDescent="0.3">
      <c r="A28" s="4" t="s">
        <v>134</v>
      </c>
      <c r="B28" s="5">
        <v>1</v>
      </c>
      <c r="G28" s="18" t="s">
        <v>160</v>
      </c>
    </row>
    <row r="29" spans="1:7" x14ac:dyDescent="0.3">
      <c r="A29" s="4" t="s">
        <v>135</v>
      </c>
      <c r="B29" s="5">
        <v>599</v>
      </c>
      <c r="G29" s="18" t="s">
        <v>161</v>
      </c>
    </row>
    <row r="30" spans="1:7" x14ac:dyDescent="0.3">
      <c r="A30" s="4" t="s">
        <v>136</v>
      </c>
      <c r="B30" s="5">
        <v>5</v>
      </c>
      <c r="G30" s="18" t="s">
        <v>162</v>
      </c>
    </row>
    <row r="31" spans="1:7" x14ac:dyDescent="0.3">
      <c r="A31" s="4" t="s">
        <v>137</v>
      </c>
      <c r="B31" s="5">
        <v>605</v>
      </c>
      <c r="G31" s="18" t="e" cm="1">
        <f t="array" ref="G31">-- store_id</f>
        <v>#NAME?</v>
      </c>
    </row>
    <row r="32" spans="1:7" x14ac:dyDescent="0.3">
      <c r="A32" s="4" t="s">
        <v>138</v>
      </c>
      <c r="B32" s="5">
        <v>5</v>
      </c>
      <c r="G32" s="18" t="s">
        <v>163</v>
      </c>
    </row>
    <row r="33" spans="1:7" x14ac:dyDescent="0.3">
      <c r="A33" s="4" t="s">
        <v>139</v>
      </c>
      <c r="B33" s="5">
        <v>599</v>
      </c>
      <c r="G33" s="18" t="s">
        <v>164</v>
      </c>
    </row>
    <row r="34" spans="1:7" x14ac:dyDescent="0.3">
      <c r="A34" s="4" t="s">
        <v>140</v>
      </c>
      <c r="B34" s="5" t="s">
        <v>153</v>
      </c>
      <c r="G34" s="18" t="s">
        <v>165</v>
      </c>
    </row>
    <row r="35" spans="1:7" x14ac:dyDescent="0.3">
      <c r="A35" s="4" t="s">
        <v>141</v>
      </c>
      <c r="B35" s="5">
        <v>599</v>
      </c>
      <c r="G35" s="18" t="s">
        <v>166</v>
      </c>
    </row>
    <row r="36" spans="1:7" x14ac:dyDescent="0.3">
      <c r="A36" s="4" t="s">
        <v>142</v>
      </c>
      <c r="B36" s="5">
        <v>0</v>
      </c>
      <c r="G36" s="18" t="s">
        <v>167</v>
      </c>
    </row>
    <row r="37" spans="1:7" x14ac:dyDescent="0.3">
      <c r="A37" s="4" t="s">
        <v>143</v>
      </c>
      <c r="B37" s="5">
        <v>1</v>
      </c>
      <c r="G37" s="18" t="s">
        <v>168</v>
      </c>
    </row>
    <row r="38" spans="1:7" x14ac:dyDescent="0.3">
      <c r="A38" s="4" t="s">
        <v>144</v>
      </c>
      <c r="B38" s="5" t="s">
        <v>154</v>
      </c>
      <c r="G38" s="18" t="s">
        <v>169</v>
      </c>
    </row>
    <row r="39" spans="1:7" x14ac:dyDescent="0.3">
      <c r="A39" s="4" t="s">
        <v>145</v>
      </c>
      <c r="B39" s="5">
        <v>1</v>
      </c>
      <c r="G39" s="18" t="s">
        <v>170</v>
      </c>
    </row>
    <row r="40" spans="1:7" x14ac:dyDescent="0.3">
      <c r="A40" s="4" t="s">
        <v>146</v>
      </c>
      <c r="B40" s="5">
        <v>599</v>
      </c>
      <c r="G40" s="18" t="e" cm="1">
        <f t="array" ref="G40">-- activebool (boolean)</f>
        <v>#NAME?</v>
      </c>
    </row>
    <row r="41" spans="1:7" x14ac:dyDescent="0.3">
      <c r="A41" s="4" t="s">
        <v>147</v>
      </c>
      <c r="B41" s="6">
        <v>38762</v>
      </c>
      <c r="G41" s="18" t="s">
        <v>171</v>
      </c>
    </row>
    <row r="42" spans="1:7" x14ac:dyDescent="0.3">
      <c r="A42" s="4" t="s">
        <v>148</v>
      </c>
      <c r="B42" s="6">
        <v>38762</v>
      </c>
      <c r="G42" s="18" t="s">
        <v>172</v>
      </c>
    </row>
    <row r="43" spans="1:7" x14ac:dyDescent="0.3">
      <c r="A43" s="4" t="s">
        <v>149</v>
      </c>
      <c r="B43" s="6">
        <v>38762</v>
      </c>
      <c r="G43" s="18" t="e" cm="1">
        <f t="array" ref="G43">-- active (integer, duplicate of activebool in some schemas)</f>
        <v>#NAME?</v>
      </c>
    </row>
    <row r="44" spans="1:7" x14ac:dyDescent="0.3">
      <c r="A44" s="4" t="s">
        <v>150</v>
      </c>
      <c r="B44" s="5">
        <v>599</v>
      </c>
      <c r="G44" s="18" t="s">
        <v>173</v>
      </c>
    </row>
    <row r="45" spans="1:7" x14ac:dyDescent="0.3">
      <c r="A45" s="4" t="s">
        <v>151</v>
      </c>
      <c r="B45" s="5" t="s">
        <v>155</v>
      </c>
      <c r="G45" s="18" t="s">
        <v>174</v>
      </c>
    </row>
    <row r="46" spans="1:7" x14ac:dyDescent="0.3">
      <c r="A46" s="4" t="s">
        <v>152</v>
      </c>
      <c r="B46" s="5" t="s">
        <v>155</v>
      </c>
      <c r="G46" s="18" t="s">
        <v>175</v>
      </c>
    </row>
    <row r="47" spans="1:7" x14ac:dyDescent="0.3">
      <c r="G47" s="18" t="s">
        <v>176</v>
      </c>
    </row>
    <row r="48" spans="1:7" x14ac:dyDescent="0.3">
      <c r="G48" s="18" t="s">
        <v>177</v>
      </c>
    </row>
    <row r="49" spans="7:7" x14ac:dyDescent="0.3">
      <c r="G49" s="18" t="e" cm="1">
        <f t="array" ref="G49">-- create_date</f>
        <v>#NAME?</v>
      </c>
    </row>
    <row r="50" spans="7:7" x14ac:dyDescent="0.3">
      <c r="G50" s="18" t="s">
        <v>178</v>
      </c>
    </row>
    <row r="51" spans="7:7" x14ac:dyDescent="0.3">
      <c r="G51" s="18" t="s">
        <v>179</v>
      </c>
    </row>
    <row r="52" spans="7:7" x14ac:dyDescent="0.3">
      <c r="G52" s="18" t="s">
        <v>180</v>
      </c>
    </row>
    <row r="53" spans="7:7" x14ac:dyDescent="0.3">
      <c r="G53" s="18" t="s">
        <v>181</v>
      </c>
    </row>
    <row r="54" spans="7:7" x14ac:dyDescent="0.3">
      <c r="G54" s="18" t="e" cm="1">
        <f t="array" ref="G54">-- last_update</f>
        <v>#NAME?</v>
      </c>
    </row>
    <row r="55" spans="7:7" x14ac:dyDescent="0.3">
      <c r="G55" s="18" t="s">
        <v>182</v>
      </c>
    </row>
    <row r="56" spans="7:7" x14ac:dyDescent="0.3">
      <c r="G56" s="18" t="s">
        <v>183</v>
      </c>
    </row>
    <row r="57" spans="7:7" x14ac:dyDescent="0.3">
      <c r="G57" s="18" t="s">
        <v>184</v>
      </c>
    </row>
    <row r="58" spans="7:7" x14ac:dyDescent="0.3">
      <c r="G58" s="18" t="s">
        <v>185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1A69-5136-458C-AC08-C8E253E1A84B}">
  <sheetPr>
    <tabColor theme="9" tint="0.79998168889431442"/>
  </sheetPr>
  <dimension ref="A1:N15"/>
  <sheetViews>
    <sheetView zoomScale="110" zoomScaleNormal="110" workbookViewId="0">
      <selection activeCell="B14" sqref="B14"/>
    </sheetView>
  </sheetViews>
  <sheetFormatPr defaultRowHeight="14.4" x14ac:dyDescent="0.3"/>
  <cols>
    <col min="1" max="1" width="18.5546875" customWidth="1"/>
    <col min="2" max="2" width="17.33203125" customWidth="1"/>
    <col min="14" max="14" width="57.88671875" bestFit="1" customWidth="1"/>
  </cols>
  <sheetData>
    <row r="1" spans="1:14" s="11" customFormat="1" ht="20.399999999999999" thickBot="1" x14ac:dyDescent="0.45">
      <c r="A1" s="11" t="s">
        <v>334</v>
      </c>
    </row>
    <row r="2" spans="1:14" ht="15" thickTop="1" x14ac:dyDescent="0.3"/>
    <row r="4" spans="1:14" ht="18" thickBot="1" x14ac:dyDescent="0.4">
      <c r="A4" s="10" t="s">
        <v>187</v>
      </c>
      <c r="B4" s="2"/>
      <c r="N4" s="10" t="s">
        <v>33</v>
      </c>
    </row>
    <row r="5" spans="1:14" ht="15" thickTop="1" x14ac:dyDescent="0.3">
      <c r="A5" s="14" t="s">
        <v>188</v>
      </c>
      <c r="B5" s="15" t="s">
        <v>189</v>
      </c>
      <c r="N5" s="18" t="s">
        <v>200</v>
      </c>
    </row>
    <row r="6" spans="1:14" x14ac:dyDescent="0.3">
      <c r="A6" s="12" t="s">
        <v>190</v>
      </c>
      <c r="B6" s="13">
        <v>60</v>
      </c>
      <c r="N6" s="18" t="s">
        <v>201</v>
      </c>
    </row>
    <row r="7" spans="1:14" x14ac:dyDescent="0.3">
      <c r="A7" s="12" t="s">
        <v>191</v>
      </c>
      <c r="B7" s="13">
        <v>53</v>
      </c>
      <c r="N7" s="18" t="s">
        <v>202</v>
      </c>
    </row>
    <row r="8" spans="1:14" x14ac:dyDescent="0.3">
      <c r="A8" s="12" t="s">
        <v>192</v>
      </c>
      <c r="B8" s="13">
        <v>36</v>
      </c>
      <c r="N8" s="18" t="s">
        <v>203</v>
      </c>
    </row>
    <row r="9" spans="1:14" x14ac:dyDescent="0.3">
      <c r="A9" s="12" t="s">
        <v>193</v>
      </c>
      <c r="B9" s="13">
        <v>31</v>
      </c>
      <c r="N9" s="18" t="s">
        <v>204</v>
      </c>
    </row>
    <row r="10" spans="1:14" x14ac:dyDescent="0.3">
      <c r="A10" s="12" t="s">
        <v>194</v>
      </c>
      <c r="B10" s="13">
        <v>30</v>
      </c>
      <c r="N10" s="18" t="s">
        <v>205</v>
      </c>
    </row>
    <row r="11" spans="1:14" x14ac:dyDescent="0.3">
      <c r="A11" s="12" t="s">
        <v>195</v>
      </c>
      <c r="B11" s="13">
        <v>28</v>
      </c>
      <c r="N11" s="18" t="s">
        <v>206</v>
      </c>
    </row>
    <row r="12" spans="1:14" x14ac:dyDescent="0.3">
      <c r="A12" s="12" t="s">
        <v>196</v>
      </c>
      <c r="B12" s="13">
        <v>28</v>
      </c>
      <c r="N12" s="18" t="s">
        <v>207</v>
      </c>
    </row>
    <row r="13" spans="1:14" x14ac:dyDescent="0.3">
      <c r="A13" s="12" t="s">
        <v>197</v>
      </c>
      <c r="B13" s="13">
        <v>20</v>
      </c>
      <c r="N13" s="18" t="s">
        <v>208</v>
      </c>
    </row>
    <row r="14" spans="1:14" x14ac:dyDescent="0.3">
      <c r="A14" s="12" t="s">
        <v>198</v>
      </c>
      <c r="B14" s="13">
        <v>15</v>
      </c>
    </row>
    <row r="15" spans="1:14" x14ac:dyDescent="0.3">
      <c r="A15" s="16" t="s">
        <v>199</v>
      </c>
      <c r="B15" s="17">
        <v>14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7959-0BBB-48C7-AC2B-2F8629C16BA8}">
  <sheetPr>
    <tabColor theme="9" tint="0.79998168889431442"/>
  </sheetPr>
  <dimension ref="A1:R17"/>
  <sheetViews>
    <sheetView zoomScale="110" zoomScaleNormal="110" workbookViewId="0">
      <selection activeCell="M22" sqref="M22"/>
    </sheetView>
  </sheetViews>
  <sheetFormatPr defaultRowHeight="14.4" x14ac:dyDescent="0.3"/>
  <cols>
    <col min="1" max="1" width="13.88671875" customWidth="1"/>
    <col min="2" max="2" width="13.44140625" customWidth="1"/>
    <col min="3" max="3" width="18.77734375" customWidth="1"/>
    <col min="18" max="18" width="63.33203125" bestFit="1" customWidth="1"/>
    <col min="20" max="20" width="8.44140625" customWidth="1"/>
  </cols>
  <sheetData>
    <row r="1" spans="1:18" s="19" customFormat="1" ht="20.399999999999999" thickBot="1" x14ac:dyDescent="0.45">
      <c r="A1" s="19" t="s">
        <v>335</v>
      </c>
    </row>
    <row r="2" spans="1:18" ht="15" thickTop="1" x14ac:dyDescent="0.3"/>
    <row r="3" spans="1:18" ht="18" thickBot="1" x14ac:dyDescent="0.4">
      <c r="A3" s="10" t="s">
        <v>336</v>
      </c>
      <c r="R3" s="10" t="s">
        <v>33</v>
      </c>
    </row>
    <row r="4" spans="1:18" ht="15" thickTop="1" x14ac:dyDescent="0.3">
      <c r="A4" s="14" t="s">
        <v>209</v>
      </c>
      <c r="B4" s="20" t="s">
        <v>210</v>
      </c>
      <c r="C4" s="15" t="s">
        <v>189</v>
      </c>
      <c r="R4" s="18" t="s">
        <v>25</v>
      </c>
    </row>
    <row r="5" spans="1:18" x14ac:dyDescent="0.3">
      <c r="A5" s="12" t="s">
        <v>211</v>
      </c>
      <c r="B5" s="5" t="s">
        <v>192</v>
      </c>
      <c r="C5" s="13">
        <v>2</v>
      </c>
      <c r="R5" s="18" t="s">
        <v>221</v>
      </c>
    </row>
    <row r="6" spans="1:18" x14ac:dyDescent="0.3">
      <c r="A6" s="12" t="s">
        <v>212</v>
      </c>
      <c r="B6" s="5" t="s">
        <v>194</v>
      </c>
      <c r="C6" s="13">
        <v>1</v>
      </c>
      <c r="R6" s="18" t="s">
        <v>222</v>
      </c>
    </row>
    <row r="7" spans="1:18" x14ac:dyDescent="0.3">
      <c r="A7" s="12" t="s">
        <v>213</v>
      </c>
      <c r="B7" s="5" t="s">
        <v>191</v>
      </c>
      <c r="C7" s="13">
        <v>1</v>
      </c>
      <c r="R7" s="18" t="s">
        <v>201</v>
      </c>
    </row>
    <row r="8" spans="1:18" x14ac:dyDescent="0.3">
      <c r="A8" s="12" t="s">
        <v>214</v>
      </c>
      <c r="B8" s="5" t="s">
        <v>190</v>
      </c>
      <c r="C8" s="13">
        <v>1</v>
      </c>
      <c r="R8" s="18" t="s">
        <v>202</v>
      </c>
    </row>
    <row r="9" spans="1:18" x14ac:dyDescent="0.3">
      <c r="A9" s="12" t="s">
        <v>215</v>
      </c>
      <c r="B9" s="5" t="s">
        <v>190</v>
      </c>
      <c r="C9" s="13">
        <v>1</v>
      </c>
      <c r="R9" s="18" t="s">
        <v>203</v>
      </c>
    </row>
    <row r="10" spans="1:18" x14ac:dyDescent="0.3">
      <c r="A10" s="12" t="s">
        <v>216</v>
      </c>
      <c r="B10" s="5" t="s">
        <v>193</v>
      </c>
      <c r="C10" s="13">
        <v>1</v>
      </c>
      <c r="R10" s="18" t="s">
        <v>204</v>
      </c>
    </row>
    <row r="11" spans="1:18" x14ac:dyDescent="0.3">
      <c r="A11" s="12" t="s">
        <v>217</v>
      </c>
      <c r="B11" s="5" t="s">
        <v>191</v>
      </c>
      <c r="C11" s="13">
        <v>1</v>
      </c>
      <c r="R11" s="18" t="s">
        <v>205</v>
      </c>
    </row>
    <row r="12" spans="1:18" x14ac:dyDescent="0.3">
      <c r="A12" s="12" t="s">
        <v>218</v>
      </c>
      <c r="B12" s="5" t="s">
        <v>198</v>
      </c>
      <c r="C12" s="13">
        <v>1</v>
      </c>
      <c r="R12" s="18" t="s">
        <v>223</v>
      </c>
    </row>
    <row r="13" spans="1:18" x14ac:dyDescent="0.3">
      <c r="A13" s="12" t="s">
        <v>219</v>
      </c>
      <c r="B13" s="5" t="s">
        <v>194</v>
      </c>
      <c r="C13" s="13">
        <v>1</v>
      </c>
      <c r="R13" s="18" t="s">
        <v>224</v>
      </c>
    </row>
    <row r="14" spans="1:18" x14ac:dyDescent="0.3">
      <c r="A14" s="16" t="s">
        <v>220</v>
      </c>
      <c r="B14" s="21" t="s">
        <v>195</v>
      </c>
      <c r="C14" s="17">
        <v>1</v>
      </c>
      <c r="R14" s="18" t="s">
        <v>225</v>
      </c>
    </row>
    <row r="15" spans="1:18" x14ac:dyDescent="0.3">
      <c r="R15" s="18" t="s">
        <v>226</v>
      </c>
    </row>
    <row r="16" spans="1:18" x14ac:dyDescent="0.3">
      <c r="R16" s="18" t="s">
        <v>207</v>
      </c>
    </row>
    <row r="17" spans="18:18" x14ac:dyDescent="0.3">
      <c r="R17" s="18" t="s">
        <v>208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DF7A-AA2A-4731-99BB-6AADA4EC4F81}">
  <sheetPr>
    <tabColor theme="9" tint="0.79998168889431442"/>
  </sheetPr>
  <dimension ref="A1:L25"/>
  <sheetViews>
    <sheetView topLeftCell="B1" zoomScale="110" zoomScaleNormal="110" workbookViewId="0">
      <selection activeCell="L3" sqref="L3:L25"/>
    </sheetView>
  </sheetViews>
  <sheetFormatPr defaultRowHeight="14.4" x14ac:dyDescent="0.3"/>
  <cols>
    <col min="1" max="1" width="14.77734375" customWidth="1"/>
    <col min="2" max="2" width="11.6640625" bestFit="1" customWidth="1"/>
    <col min="3" max="3" width="11.44140625" bestFit="1" customWidth="1"/>
    <col min="4" max="4" width="8.6640625" bestFit="1" customWidth="1"/>
    <col min="5" max="5" width="13.5546875" bestFit="1" customWidth="1"/>
    <col min="6" max="6" width="18.109375" bestFit="1" customWidth="1"/>
    <col min="12" max="12" width="66.21875" bestFit="1" customWidth="1"/>
    <col min="17" max="17" width="10" customWidth="1"/>
  </cols>
  <sheetData>
    <row r="1" spans="1:12" s="19" customFormat="1" ht="20.399999999999999" thickBot="1" x14ac:dyDescent="0.45">
      <c r="A1" s="19" t="s">
        <v>227</v>
      </c>
    </row>
    <row r="2" spans="1:12" ht="15" thickTop="1" x14ac:dyDescent="0.3">
      <c r="A2" s="2"/>
    </row>
    <row r="3" spans="1:12" ht="18" thickBot="1" x14ac:dyDescent="0.4">
      <c r="A3" s="10" t="s">
        <v>228</v>
      </c>
      <c r="L3" s="10" t="s">
        <v>33</v>
      </c>
    </row>
    <row r="4" spans="1:12" ht="15" thickTop="1" x14ac:dyDescent="0.3">
      <c r="A4" s="24" t="s">
        <v>229</v>
      </c>
      <c r="B4" s="25" t="s">
        <v>230</v>
      </c>
      <c r="C4" s="25" t="s">
        <v>231</v>
      </c>
      <c r="D4" s="25" t="s">
        <v>232</v>
      </c>
      <c r="E4" s="25" t="s">
        <v>233</v>
      </c>
      <c r="F4" s="26" t="s">
        <v>234</v>
      </c>
      <c r="L4" s="18" t="s">
        <v>25</v>
      </c>
    </row>
    <row r="5" spans="1:12" x14ac:dyDescent="0.3">
      <c r="A5" s="22">
        <v>84</v>
      </c>
      <c r="B5" s="8" t="s">
        <v>235</v>
      </c>
      <c r="C5" s="8" t="s">
        <v>236</v>
      </c>
      <c r="D5" s="8" t="s">
        <v>237</v>
      </c>
      <c r="E5" s="8" t="s">
        <v>238</v>
      </c>
      <c r="F5" s="23">
        <v>128.69999999999999</v>
      </c>
      <c r="L5" s="18" t="s">
        <v>251</v>
      </c>
    </row>
    <row r="6" spans="1:12" x14ac:dyDescent="0.3">
      <c r="A6" s="22">
        <v>518</v>
      </c>
      <c r="B6" s="8" t="s">
        <v>239</v>
      </c>
      <c r="C6" s="8" t="s">
        <v>240</v>
      </c>
      <c r="D6" s="8" t="s">
        <v>218</v>
      </c>
      <c r="E6" s="8" t="s">
        <v>198</v>
      </c>
      <c r="F6" s="23">
        <v>108.75</v>
      </c>
      <c r="L6" s="18" t="s">
        <v>252</v>
      </c>
    </row>
    <row r="7" spans="1:12" x14ac:dyDescent="0.3">
      <c r="A7" s="22">
        <v>587</v>
      </c>
      <c r="B7" s="8" t="s">
        <v>241</v>
      </c>
      <c r="C7" s="8" t="s">
        <v>242</v>
      </c>
      <c r="D7" s="8" t="s">
        <v>243</v>
      </c>
      <c r="E7" s="8" t="s">
        <v>238</v>
      </c>
      <c r="F7" s="23">
        <v>102.76</v>
      </c>
      <c r="L7" s="18" t="s">
        <v>253</v>
      </c>
    </row>
    <row r="8" spans="1:12" x14ac:dyDescent="0.3">
      <c r="A8" s="22">
        <v>537</v>
      </c>
      <c r="B8" s="8" t="s">
        <v>244</v>
      </c>
      <c r="C8" s="8" t="s">
        <v>245</v>
      </c>
      <c r="D8" s="8" t="s">
        <v>246</v>
      </c>
      <c r="E8" s="8" t="s">
        <v>247</v>
      </c>
      <c r="F8" s="23">
        <v>98.76</v>
      </c>
      <c r="L8" s="18" t="s">
        <v>254</v>
      </c>
    </row>
    <row r="9" spans="1:12" x14ac:dyDescent="0.3">
      <c r="A9" s="27">
        <v>367</v>
      </c>
      <c r="B9" s="28" t="s">
        <v>248</v>
      </c>
      <c r="C9" s="28" t="s">
        <v>249</v>
      </c>
      <c r="D9" s="28" t="s">
        <v>250</v>
      </c>
      <c r="E9" s="28" t="s">
        <v>190</v>
      </c>
      <c r="F9" s="29">
        <v>97.8</v>
      </c>
      <c r="L9" s="18" t="s">
        <v>222</v>
      </c>
    </row>
    <row r="10" spans="1:12" x14ac:dyDescent="0.3">
      <c r="L10" s="18" t="s">
        <v>255</v>
      </c>
    </row>
    <row r="11" spans="1:12" x14ac:dyDescent="0.3">
      <c r="L11" s="18" t="s">
        <v>202</v>
      </c>
    </row>
    <row r="12" spans="1:12" x14ac:dyDescent="0.3">
      <c r="L12" s="18" t="s">
        <v>203</v>
      </c>
    </row>
    <row r="13" spans="1:12" x14ac:dyDescent="0.3">
      <c r="L13" s="18" t="s">
        <v>204</v>
      </c>
    </row>
    <row r="14" spans="1:12" x14ac:dyDescent="0.3">
      <c r="L14" s="18" t="s">
        <v>256</v>
      </c>
    </row>
    <row r="15" spans="1:12" x14ac:dyDescent="0.3">
      <c r="L15" s="18" t="s">
        <v>257</v>
      </c>
    </row>
    <row r="16" spans="1:12" x14ac:dyDescent="0.3">
      <c r="L16" s="18" t="s">
        <v>258</v>
      </c>
    </row>
    <row r="17" spans="12:12" x14ac:dyDescent="0.3">
      <c r="L17" s="18" t="s">
        <v>259</v>
      </c>
    </row>
    <row r="18" spans="12:12" x14ac:dyDescent="0.3">
      <c r="L18" s="18" t="s">
        <v>260</v>
      </c>
    </row>
    <row r="19" spans="12:12" x14ac:dyDescent="0.3">
      <c r="L19" s="18" t="s">
        <v>261</v>
      </c>
    </row>
    <row r="20" spans="12:12" x14ac:dyDescent="0.3">
      <c r="L20" s="18" t="s">
        <v>262</v>
      </c>
    </row>
    <row r="21" spans="12:12" x14ac:dyDescent="0.3">
      <c r="L21" s="18" t="s">
        <v>225</v>
      </c>
    </row>
    <row r="22" spans="12:12" x14ac:dyDescent="0.3">
      <c r="L22" s="18" t="s">
        <v>263</v>
      </c>
    </row>
    <row r="23" spans="12:12" x14ac:dyDescent="0.3">
      <c r="L23" s="18" t="s">
        <v>264</v>
      </c>
    </row>
    <row r="24" spans="12:12" x14ac:dyDescent="0.3">
      <c r="L24" s="18" t="s">
        <v>265</v>
      </c>
    </row>
    <row r="25" spans="12:12" x14ac:dyDescent="0.3">
      <c r="L25" s="18" t="s">
        <v>266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5D90-ECAA-493D-A6F5-5A12D8CE39E5}">
  <dimension ref="A1:E12"/>
  <sheetViews>
    <sheetView workbookViewId="0">
      <selection activeCell="J33" sqref="J33"/>
    </sheetView>
  </sheetViews>
  <sheetFormatPr defaultRowHeight="14.4" x14ac:dyDescent="0.3"/>
  <cols>
    <col min="1" max="1" width="54.5546875" bestFit="1" customWidth="1"/>
    <col min="5" max="5" width="14.33203125" customWidth="1"/>
  </cols>
  <sheetData>
    <row r="1" spans="1:5" ht="20.399999999999999" thickBot="1" x14ac:dyDescent="0.45">
      <c r="A1" s="19" t="s">
        <v>337</v>
      </c>
    </row>
    <row r="2" spans="1:5" ht="15" thickTop="1" x14ac:dyDescent="0.3">
      <c r="D2" t="s">
        <v>17</v>
      </c>
      <c r="E2" t="s">
        <v>271</v>
      </c>
    </row>
    <row r="3" spans="1:5" ht="18" thickBot="1" x14ac:dyDescent="0.4">
      <c r="A3" s="10" t="s">
        <v>33</v>
      </c>
      <c r="D3" t="s">
        <v>76</v>
      </c>
      <c r="E3" t="s">
        <v>272</v>
      </c>
    </row>
    <row r="4" spans="1:5" ht="15" thickTop="1" x14ac:dyDescent="0.3">
      <c r="A4" s="18" t="s">
        <v>25</v>
      </c>
      <c r="D4" t="s">
        <v>273</v>
      </c>
      <c r="E4" t="s">
        <v>274</v>
      </c>
    </row>
    <row r="5" spans="1:5" x14ac:dyDescent="0.3">
      <c r="A5" s="18" t="s">
        <v>281</v>
      </c>
      <c r="D5" t="s">
        <v>275</v>
      </c>
      <c r="E5" t="s">
        <v>276</v>
      </c>
    </row>
    <row r="6" spans="1:5" x14ac:dyDescent="0.3">
      <c r="A6" s="18" t="s">
        <v>282</v>
      </c>
      <c r="D6" t="s">
        <v>277</v>
      </c>
      <c r="E6" t="s">
        <v>278</v>
      </c>
    </row>
    <row r="7" spans="1:5" x14ac:dyDescent="0.3">
      <c r="A7" s="18" t="s">
        <v>283</v>
      </c>
      <c r="D7" t="s">
        <v>279</v>
      </c>
      <c r="E7" t="s">
        <v>280</v>
      </c>
    </row>
    <row r="8" spans="1:5" x14ac:dyDescent="0.3">
      <c r="A8" s="18" t="s">
        <v>284</v>
      </c>
    </row>
    <row r="9" spans="1:5" x14ac:dyDescent="0.3">
      <c r="A9" s="18" t="s">
        <v>285</v>
      </c>
    </row>
    <row r="10" spans="1:5" x14ac:dyDescent="0.3">
      <c r="A10" s="18" t="s">
        <v>286</v>
      </c>
    </row>
    <row r="11" spans="1:5" x14ac:dyDescent="0.3">
      <c r="A11" s="18" t="s">
        <v>287</v>
      </c>
    </row>
    <row r="12" spans="1:5" x14ac:dyDescent="0.3">
      <c r="A12" s="18" t="s">
        <v>288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ECDC-2903-435E-BB44-38F40B0D04CD}">
  <dimension ref="A1:F20"/>
  <sheetViews>
    <sheetView workbookViewId="0">
      <selection activeCell="H35" sqref="H35"/>
    </sheetView>
  </sheetViews>
  <sheetFormatPr defaultRowHeight="14.4" x14ac:dyDescent="0.3"/>
  <cols>
    <col min="1" max="1" width="50.21875" bestFit="1" customWidth="1"/>
    <col min="4" max="4" width="12.33203125" bestFit="1" customWidth="1"/>
    <col min="5" max="5" width="14.109375" bestFit="1" customWidth="1"/>
    <col min="6" max="6" width="15.44140625" bestFit="1" customWidth="1"/>
    <col min="8" max="8" width="10.109375" customWidth="1"/>
    <col min="9" max="9" width="13.6640625" customWidth="1"/>
    <col min="10" max="10" width="14.33203125" customWidth="1"/>
  </cols>
  <sheetData>
    <row r="1" spans="1:6" ht="20.399999999999999" thickBot="1" x14ac:dyDescent="0.45">
      <c r="A1" s="19" t="s">
        <v>338</v>
      </c>
    </row>
    <row r="2" spans="1:6" ht="15" thickTop="1" x14ac:dyDescent="0.3"/>
    <row r="4" spans="1:6" ht="18" thickBot="1" x14ac:dyDescent="0.4">
      <c r="A4" s="10" t="s">
        <v>33</v>
      </c>
      <c r="D4" t="s">
        <v>300</v>
      </c>
      <c r="E4" t="s">
        <v>301</v>
      </c>
      <c r="F4" t="s">
        <v>271</v>
      </c>
    </row>
    <row r="5" spans="1:6" ht="15" thickTop="1" x14ac:dyDescent="0.3">
      <c r="A5" s="18" t="s">
        <v>289</v>
      </c>
      <c r="D5" t="s">
        <v>302</v>
      </c>
      <c r="E5">
        <v>1081</v>
      </c>
      <c r="F5" t="s">
        <v>303</v>
      </c>
    </row>
    <row r="6" spans="1:6" x14ac:dyDescent="0.3">
      <c r="A6" s="18" t="s">
        <v>290</v>
      </c>
      <c r="D6" t="s">
        <v>304</v>
      </c>
      <c r="E6">
        <v>998</v>
      </c>
      <c r="F6" t="s">
        <v>305</v>
      </c>
    </row>
    <row r="7" spans="1:6" x14ac:dyDescent="0.3">
      <c r="A7" s="18" t="s">
        <v>291</v>
      </c>
      <c r="D7" t="s">
        <v>306</v>
      </c>
      <c r="E7">
        <v>1065</v>
      </c>
      <c r="F7" t="s">
        <v>307</v>
      </c>
    </row>
    <row r="8" spans="1:6" x14ac:dyDescent="0.3">
      <c r="A8" s="18" t="s">
        <v>292</v>
      </c>
      <c r="D8" t="s">
        <v>308</v>
      </c>
      <c r="E8">
        <v>953</v>
      </c>
      <c r="F8" t="s">
        <v>309</v>
      </c>
    </row>
    <row r="9" spans="1:6" x14ac:dyDescent="0.3">
      <c r="A9" s="18" t="s">
        <v>293</v>
      </c>
      <c r="D9" t="s">
        <v>310</v>
      </c>
      <c r="E9">
        <v>875</v>
      </c>
      <c r="F9" t="s">
        <v>311</v>
      </c>
    </row>
    <row r="10" spans="1:6" x14ac:dyDescent="0.3">
      <c r="A10" s="18" t="s">
        <v>294</v>
      </c>
      <c r="D10" t="s">
        <v>312</v>
      </c>
      <c r="E10">
        <v>851</v>
      </c>
      <c r="F10" t="s">
        <v>313</v>
      </c>
    </row>
    <row r="11" spans="1:6" x14ac:dyDescent="0.3">
      <c r="A11" s="18" t="s">
        <v>295</v>
      </c>
      <c r="D11" t="s">
        <v>314</v>
      </c>
      <c r="E11">
        <v>1013</v>
      </c>
      <c r="F11" t="s">
        <v>315</v>
      </c>
    </row>
    <row r="12" spans="1:6" x14ac:dyDescent="0.3">
      <c r="A12" s="18" t="s">
        <v>296</v>
      </c>
      <c r="D12" t="s">
        <v>316</v>
      </c>
      <c r="E12">
        <v>953</v>
      </c>
      <c r="F12" t="s">
        <v>317</v>
      </c>
    </row>
    <row r="13" spans="1:6" x14ac:dyDescent="0.3">
      <c r="A13" s="18" t="s">
        <v>297</v>
      </c>
      <c r="D13" t="s">
        <v>318</v>
      </c>
      <c r="E13">
        <v>884</v>
      </c>
      <c r="F13" t="s">
        <v>319</v>
      </c>
    </row>
    <row r="14" spans="1:6" x14ac:dyDescent="0.3">
      <c r="A14" s="18" t="s">
        <v>298</v>
      </c>
      <c r="D14" t="s">
        <v>320</v>
      </c>
      <c r="E14">
        <v>977</v>
      </c>
      <c r="F14" t="s">
        <v>321</v>
      </c>
    </row>
    <row r="15" spans="1:6" x14ac:dyDescent="0.3">
      <c r="A15" s="18" t="s">
        <v>299</v>
      </c>
      <c r="D15" t="s">
        <v>322</v>
      </c>
      <c r="E15">
        <v>937</v>
      </c>
      <c r="F15" t="s">
        <v>323</v>
      </c>
    </row>
    <row r="16" spans="1:6" x14ac:dyDescent="0.3">
      <c r="A16" s="18" t="s">
        <v>288</v>
      </c>
      <c r="D16" t="s">
        <v>324</v>
      </c>
      <c r="E16">
        <v>773</v>
      </c>
      <c r="F16" t="s">
        <v>325</v>
      </c>
    </row>
    <row r="17" spans="4:6" x14ac:dyDescent="0.3">
      <c r="D17" t="s">
        <v>326</v>
      </c>
      <c r="E17">
        <v>860</v>
      </c>
      <c r="F17" t="s">
        <v>327</v>
      </c>
    </row>
    <row r="18" spans="4:6" x14ac:dyDescent="0.3">
      <c r="D18" t="s">
        <v>328</v>
      </c>
      <c r="E18">
        <v>861</v>
      </c>
      <c r="F18" t="s">
        <v>329</v>
      </c>
    </row>
    <row r="19" spans="4:6" x14ac:dyDescent="0.3">
      <c r="D19" t="s">
        <v>330</v>
      </c>
      <c r="E19">
        <v>765</v>
      </c>
      <c r="F19" t="s">
        <v>331</v>
      </c>
    </row>
    <row r="20" spans="4:6" x14ac:dyDescent="0.3">
      <c r="D20" t="s">
        <v>332</v>
      </c>
      <c r="E20">
        <v>750</v>
      </c>
      <c r="F20" t="s">
        <v>333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EE81-BA2A-43B9-B9F9-8B86523F88D7}">
  <dimension ref="A1:E110"/>
  <sheetViews>
    <sheetView tabSelected="1" workbookViewId="0">
      <selection activeCell="G17" sqref="G17"/>
    </sheetView>
  </sheetViews>
  <sheetFormatPr defaultRowHeight="14.4" x14ac:dyDescent="0.3"/>
  <cols>
    <col min="1" max="1" width="48.88671875" bestFit="1" customWidth="1"/>
    <col min="4" max="4" width="34.5546875" bestFit="1" customWidth="1"/>
    <col min="5" max="5" width="12.6640625" bestFit="1" customWidth="1"/>
    <col min="11" max="11" width="15.33203125" customWidth="1"/>
    <col min="12" max="12" width="12.33203125" customWidth="1"/>
  </cols>
  <sheetData>
    <row r="1" spans="1:5" s="19" customFormat="1" ht="20.399999999999999" thickBot="1" x14ac:dyDescent="0.45">
      <c r="A1" s="19" t="s">
        <v>464</v>
      </c>
    </row>
    <row r="2" spans="1:5" ht="18.600000000000001" thickTop="1" thickBot="1" x14ac:dyDescent="0.4">
      <c r="A2" s="10" t="s">
        <v>33</v>
      </c>
      <c r="D2" t="s">
        <v>342</v>
      </c>
      <c r="E2" t="s">
        <v>343</v>
      </c>
    </row>
    <row r="3" spans="1:5" ht="15" thickTop="1" x14ac:dyDescent="0.3">
      <c r="A3" s="18" t="s">
        <v>25</v>
      </c>
      <c r="D3" t="s">
        <v>345</v>
      </c>
      <c r="E3">
        <v>6032.79</v>
      </c>
    </row>
    <row r="4" spans="1:5" x14ac:dyDescent="0.3">
      <c r="A4" s="18" t="s">
        <v>344</v>
      </c>
      <c r="D4" t="s">
        <v>347</v>
      </c>
      <c r="E4">
        <v>5247.04</v>
      </c>
    </row>
    <row r="5" spans="1:5" x14ac:dyDescent="0.3">
      <c r="A5" s="18" t="s">
        <v>346</v>
      </c>
      <c r="D5" t="s">
        <v>348</v>
      </c>
      <c r="E5">
        <v>3694.27</v>
      </c>
    </row>
    <row r="6" spans="1:5" x14ac:dyDescent="0.3">
      <c r="A6" s="18" t="s">
        <v>27</v>
      </c>
      <c r="D6" t="s">
        <v>350</v>
      </c>
      <c r="E6">
        <v>3121.52</v>
      </c>
    </row>
    <row r="7" spans="1:5" x14ac:dyDescent="0.3">
      <c r="A7" s="18" t="s">
        <v>349</v>
      </c>
      <c r="D7" t="s">
        <v>352</v>
      </c>
      <c r="E7">
        <v>2984.82</v>
      </c>
    </row>
    <row r="8" spans="1:5" x14ac:dyDescent="0.3">
      <c r="A8" s="18" t="s">
        <v>351</v>
      </c>
      <c r="D8" t="s">
        <v>354</v>
      </c>
      <c r="E8">
        <v>2919.19</v>
      </c>
    </row>
    <row r="9" spans="1:5" x14ac:dyDescent="0.3">
      <c r="A9" s="18" t="s">
        <v>353</v>
      </c>
      <c r="D9" t="s">
        <v>355</v>
      </c>
      <c r="E9">
        <v>2765.62</v>
      </c>
    </row>
    <row r="10" spans="1:5" x14ac:dyDescent="0.3">
      <c r="A10" s="18" t="s">
        <v>351</v>
      </c>
      <c r="D10" t="s">
        <v>357</v>
      </c>
      <c r="E10">
        <v>2219.6999999999998</v>
      </c>
    </row>
    <row r="11" spans="1:5" x14ac:dyDescent="0.3">
      <c r="A11" s="18" t="s">
        <v>356</v>
      </c>
      <c r="D11" t="s">
        <v>358</v>
      </c>
      <c r="E11">
        <v>1498.49</v>
      </c>
    </row>
    <row r="12" spans="1:5" x14ac:dyDescent="0.3">
      <c r="A12" s="18" t="s">
        <v>351</v>
      </c>
      <c r="D12" t="s">
        <v>360</v>
      </c>
      <c r="E12">
        <v>1352.69</v>
      </c>
    </row>
    <row r="13" spans="1:5" x14ac:dyDescent="0.3">
      <c r="A13" s="18" t="s">
        <v>359</v>
      </c>
      <c r="D13" t="s">
        <v>361</v>
      </c>
      <c r="E13">
        <v>1314.92</v>
      </c>
    </row>
    <row r="14" spans="1:5" x14ac:dyDescent="0.3">
      <c r="A14" s="18" t="s">
        <v>351</v>
      </c>
      <c r="D14" t="s">
        <v>363</v>
      </c>
      <c r="E14">
        <v>1298.8</v>
      </c>
    </row>
    <row r="15" spans="1:5" x14ac:dyDescent="0.3">
      <c r="A15" s="18" t="s">
        <v>362</v>
      </c>
      <c r="D15" t="s">
        <v>364</v>
      </c>
      <c r="E15">
        <v>1155.0999999999999</v>
      </c>
    </row>
    <row r="16" spans="1:5" x14ac:dyDescent="0.3">
      <c r="A16" s="18" t="s">
        <v>351</v>
      </c>
      <c r="D16" t="s">
        <v>366</v>
      </c>
      <c r="E16">
        <v>1069.46</v>
      </c>
    </row>
    <row r="17" spans="1:5" x14ac:dyDescent="0.3">
      <c r="A17" s="18" t="s">
        <v>365</v>
      </c>
      <c r="D17" t="s">
        <v>368</v>
      </c>
      <c r="E17">
        <v>877.96</v>
      </c>
    </row>
    <row r="18" spans="1:5" x14ac:dyDescent="0.3">
      <c r="A18" s="18" t="s">
        <v>367</v>
      </c>
      <c r="D18" t="s">
        <v>370</v>
      </c>
      <c r="E18">
        <v>848.97</v>
      </c>
    </row>
    <row r="19" spans="1:5" x14ac:dyDescent="0.3">
      <c r="A19" s="18" t="s">
        <v>369</v>
      </c>
      <c r="D19" t="s">
        <v>371</v>
      </c>
      <c r="E19">
        <v>786.16</v>
      </c>
    </row>
    <row r="20" spans="1:5" x14ac:dyDescent="0.3">
      <c r="A20" s="18" t="s">
        <v>31</v>
      </c>
      <c r="D20" t="s">
        <v>373</v>
      </c>
      <c r="E20">
        <v>753.26</v>
      </c>
    </row>
    <row r="21" spans="1:5" x14ac:dyDescent="0.3">
      <c r="A21" s="18" t="s">
        <v>372</v>
      </c>
      <c r="D21" t="s">
        <v>374</v>
      </c>
      <c r="E21">
        <v>741.24</v>
      </c>
    </row>
    <row r="22" spans="1:5" x14ac:dyDescent="0.3">
      <c r="D22" t="s">
        <v>375</v>
      </c>
      <c r="E22">
        <v>676.45</v>
      </c>
    </row>
    <row r="23" spans="1:5" x14ac:dyDescent="0.3">
      <c r="D23" t="s">
        <v>376</v>
      </c>
      <c r="E23">
        <v>675.53</v>
      </c>
    </row>
    <row r="24" spans="1:5" x14ac:dyDescent="0.3">
      <c r="D24" t="s">
        <v>377</v>
      </c>
      <c r="E24">
        <v>661.54</v>
      </c>
    </row>
    <row r="25" spans="1:5" x14ac:dyDescent="0.3">
      <c r="D25" t="s">
        <v>378</v>
      </c>
      <c r="E25">
        <v>659.48</v>
      </c>
    </row>
    <row r="26" spans="1:5" x14ac:dyDescent="0.3">
      <c r="D26" t="s">
        <v>379</v>
      </c>
      <c r="E26">
        <v>632.42999999999995</v>
      </c>
    </row>
    <row r="27" spans="1:5" x14ac:dyDescent="0.3">
      <c r="D27" t="s">
        <v>380</v>
      </c>
      <c r="E27">
        <v>559.70000000000005</v>
      </c>
    </row>
    <row r="28" spans="1:5" x14ac:dyDescent="0.3">
      <c r="D28" t="s">
        <v>381</v>
      </c>
      <c r="E28">
        <v>557.73</v>
      </c>
    </row>
    <row r="29" spans="1:5" x14ac:dyDescent="0.3">
      <c r="D29" t="s">
        <v>382</v>
      </c>
      <c r="E29">
        <v>527.77</v>
      </c>
    </row>
    <row r="30" spans="1:5" x14ac:dyDescent="0.3">
      <c r="D30" t="s">
        <v>383</v>
      </c>
      <c r="E30">
        <v>513.79999999999995</v>
      </c>
    </row>
    <row r="31" spans="1:5" x14ac:dyDescent="0.3">
      <c r="D31" t="s">
        <v>384</v>
      </c>
      <c r="E31">
        <v>473.93</v>
      </c>
    </row>
    <row r="32" spans="1:5" x14ac:dyDescent="0.3">
      <c r="D32" t="s">
        <v>385</v>
      </c>
      <c r="E32">
        <v>473.84</v>
      </c>
    </row>
    <row r="33" spans="4:5" x14ac:dyDescent="0.3">
      <c r="D33" t="s">
        <v>386</v>
      </c>
      <c r="E33">
        <v>452.94</v>
      </c>
    </row>
    <row r="34" spans="4:5" x14ac:dyDescent="0.3">
      <c r="D34" t="s">
        <v>387</v>
      </c>
      <c r="E34">
        <v>407.01</v>
      </c>
    </row>
    <row r="35" spans="4:5" x14ac:dyDescent="0.3">
      <c r="D35" t="s">
        <v>388</v>
      </c>
      <c r="E35">
        <v>401.08</v>
      </c>
    </row>
    <row r="36" spans="4:5" x14ac:dyDescent="0.3">
      <c r="D36" t="s">
        <v>389</v>
      </c>
      <c r="E36">
        <v>379.13</v>
      </c>
    </row>
    <row r="37" spans="4:5" x14ac:dyDescent="0.3">
      <c r="D37" t="s">
        <v>390</v>
      </c>
      <c r="E37">
        <v>369.18</v>
      </c>
    </row>
    <row r="38" spans="4:5" x14ac:dyDescent="0.3">
      <c r="D38" t="s">
        <v>391</v>
      </c>
      <c r="E38">
        <v>353.19</v>
      </c>
    </row>
    <row r="39" spans="4:5" x14ac:dyDescent="0.3">
      <c r="D39" t="s">
        <v>392</v>
      </c>
      <c r="E39">
        <v>349.18</v>
      </c>
    </row>
    <row r="40" spans="4:5" x14ac:dyDescent="0.3">
      <c r="D40" t="s">
        <v>393</v>
      </c>
      <c r="E40">
        <v>334.12</v>
      </c>
    </row>
    <row r="41" spans="4:5" x14ac:dyDescent="0.3">
      <c r="D41" t="s">
        <v>394</v>
      </c>
      <c r="E41">
        <v>330.23</v>
      </c>
    </row>
    <row r="42" spans="4:5" x14ac:dyDescent="0.3">
      <c r="D42" t="s">
        <v>395</v>
      </c>
      <c r="E42">
        <v>322.22000000000003</v>
      </c>
    </row>
    <row r="43" spans="4:5" x14ac:dyDescent="0.3">
      <c r="D43" t="s">
        <v>396</v>
      </c>
      <c r="E43">
        <v>315.25</v>
      </c>
    </row>
    <row r="44" spans="4:5" x14ac:dyDescent="0.3">
      <c r="D44" t="s">
        <v>397</v>
      </c>
      <c r="E44">
        <v>305.25</v>
      </c>
    </row>
    <row r="45" spans="4:5" x14ac:dyDescent="0.3">
      <c r="D45" t="s">
        <v>398</v>
      </c>
      <c r="E45">
        <v>304.26</v>
      </c>
    </row>
    <row r="46" spans="4:5" x14ac:dyDescent="0.3">
      <c r="D46" t="s">
        <v>399</v>
      </c>
      <c r="E46">
        <v>303.33999999999997</v>
      </c>
    </row>
    <row r="47" spans="4:5" x14ac:dyDescent="0.3">
      <c r="D47" t="s">
        <v>400</v>
      </c>
      <c r="E47">
        <v>284.3</v>
      </c>
    </row>
    <row r="48" spans="4:5" x14ac:dyDescent="0.3">
      <c r="D48" t="s">
        <v>401</v>
      </c>
      <c r="E48">
        <v>274.35000000000002</v>
      </c>
    </row>
    <row r="49" spans="4:5" x14ac:dyDescent="0.3">
      <c r="D49" t="s">
        <v>402</v>
      </c>
      <c r="E49">
        <v>273.39999999999998</v>
      </c>
    </row>
    <row r="50" spans="4:5" x14ac:dyDescent="0.3">
      <c r="D50" t="s">
        <v>403</v>
      </c>
      <c r="E50">
        <v>271.36</v>
      </c>
    </row>
    <row r="51" spans="4:5" x14ac:dyDescent="0.3">
      <c r="D51" t="s">
        <v>404</v>
      </c>
      <c r="E51">
        <v>249.43</v>
      </c>
    </row>
    <row r="52" spans="4:5" x14ac:dyDescent="0.3">
      <c r="D52" t="s">
        <v>405</v>
      </c>
      <c r="E52">
        <v>248.41</v>
      </c>
    </row>
    <row r="53" spans="4:5" x14ac:dyDescent="0.3">
      <c r="D53" t="s">
        <v>406</v>
      </c>
      <c r="E53">
        <v>245.49</v>
      </c>
    </row>
    <row r="54" spans="4:5" x14ac:dyDescent="0.3">
      <c r="D54" t="s">
        <v>407</v>
      </c>
      <c r="E54">
        <v>233.49</v>
      </c>
    </row>
    <row r="55" spans="4:5" x14ac:dyDescent="0.3">
      <c r="D55" t="s">
        <v>408</v>
      </c>
      <c r="E55">
        <v>224.48</v>
      </c>
    </row>
    <row r="56" spans="4:5" x14ac:dyDescent="0.3">
      <c r="D56" t="s">
        <v>409</v>
      </c>
      <c r="E56">
        <v>218.42</v>
      </c>
    </row>
    <row r="57" spans="4:5" x14ac:dyDescent="0.3">
      <c r="D57" t="s">
        <v>410</v>
      </c>
      <c r="E57">
        <v>211.55</v>
      </c>
    </row>
    <row r="58" spans="4:5" x14ac:dyDescent="0.3">
      <c r="D58" t="s">
        <v>411</v>
      </c>
      <c r="E58">
        <v>205.52</v>
      </c>
    </row>
    <row r="59" spans="4:5" x14ac:dyDescent="0.3">
      <c r="D59" t="s">
        <v>412</v>
      </c>
      <c r="E59">
        <v>204.54</v>
      </c>
    </row>
    <row r="60" spans="4:5" x14ac:dyDescent="0.3">
      <c r="D60" t="s">
        <v>413</v>
      </c>
      <c r="E60">
        <v>202.51</v>
      </c>
    </row>
    <row r="61" spans="4:5" x14ac:dyDescent="0.3">
      <c r="D61" t="s">
        <v>414</v>
      </c>
      <c r="E61">
        <v>198.53</v>
      </c>
    </row>
    <row r="62" spans="4:5" x14ac:dyDescent="0.3">
      <c r="D62" t="s">
        <v>415</v>
      </c>
      <c r="E62">
        <v>194.52</v>
      </c>
    </row>
    <row r="63" spans="4:5" x14ac:dyDescent="0.3">
      <c r="D63" t="s">
        <v>416</v>
      </c>
      <c r="E63">
        <v>192.51</v>
      </c>
    </row>
    <row r="64" spans="4:5" x14ac:dyDescent="0.3">
      <c r="D64" t="s">
        <v>417</v>
      </c>
      <c r="E64">
        <v>187.55</v>
      </c>
    </row>
    <row r="65" spans="4:5" x14ac:dyDescent="0.3">
      <c r="D65" t="s">
        <v>418</v>
      </c>
      <c r="E65">
        <v>186.49</v>
      </c>
    </row>
    <row r="66" spans="4:5" x14ac:dyDescent="0.3">
      <c r="D66" t="s">
        <v>419</v>
      </c>
      <c r="E66">
        <v>179.53</v>
      </c>
    </row>
    <row r="67" spans="4:5" x14ac:dyDescent="0.3">
      <c r="D67" t="s">
        <v>420</v>
      </c>
      <c r="E67">
        <v>179.51</v>
      </c>
    </row>
    <row r="68" spans="4:5" x14ac:dyDescent="0.3">
      <c r="D68" t="s">
        <v>421</v>
      </c>
      <c r="E68">
        <v>178.56</v>
      </c>
    </row>
    <row r="69" spans="4:5" x14ac:dyDescent="0.3">
      <c r="D69" t="s">
        <v>422</v>
      </c>
      <c r="E69">
        <v>168.58</v>
      </c>
    </row>
    <row r="70" spans="4:5" x14ac:dyDescent="0.3">
      <c r="D70" t="s">
        <v>423</v>
      </c>
      <c r="E70">
        <v>161.56</v>
      </c>
    </row>
    <row r="71" spans="4:5" x14ac:dyDescent="0.3">
      <c r="D71" t="s">
        <v>424</v>
      </c>
      <c r="E71">
        <v>146.68</v>
      </c>
    </row>
    <row r="72" spans="4:5" x14ac:dyDescent="0.3">
      <c r="D72" t="s">
        <v>425</v>
      </c>
      <c r="E72">
        <v>143.69999999999999</v>
      </c>
    </row>
    <row r="73" spans="4:5" x14ac:dyDescent="0.3">
      <c r="D73" t="s">
        <v>426</v>
      </c>
      <c r="E73">
        <v>139.66999999999999</v>
      </c>
    </row>
    <row r="74" spans="4:5" x14ac:dyDescent="0.3">
      <c r="D74" t="s">
        <v>427</v>
      </c>
      <c r="E74">
        <v>132.72</v>
      </c>
    </row>
    <row r="75" spans="4:5" x14ac:dyDescent="0.3">
      <c r="D75" t="s">
        <v>428</v>
      </c>
      <c r="E75">
        <v>127.66</v>
      </c>
    </row>
    <row r="76" spans="4:5" x14ac:dyDescent="0.3">
      <c r="D76" t="s">
        <v>429</v>
      </c>
      <c r="E76">
        <v>126.74</v>
      </c>
    </row>
    <row r="77" spans="4:5" x14ac:dyDescent="0.3">
      <c r="D77" t="s">
        <v>430</v>
      </c>
      <c r="E77">
        <v>122.72</v>
      </c>
    </row>
    <row r="78" spans="4:5" x14ac:dyDescent="0.3">
      <c r="D78" t="s">
        <v>431</v>
      </c>
      <c r="E78">
        <v>121.73</v>
      </c>
    </row>
    <row r="79" spans="4:5" x14ac:dyDescent="0.3">
      <c r="D79" t="s">
        <v>432</v>
      </c>
      <c r="E79">
        <v>121.7</v>
      </c>
    </row>
    <row r="80" spans="4:5" x14ac:dyDescent="0.3">
      <c r="D80" t="s">
        <v>433</v>
      </c>
      <c r="E80">
        <v>121.69</v>
      </c>
    </row>
    <row r="81" spans="4:5" x14ac:dyDescent="0.3">
      <c r="D81" t="s">
        <v>434</v>
      </c>
      <c r="E81">
        <v>119.72</v>
      </c>
    </row>
    <row r="82" spans="4:5" x14ac:dyDescent="0.3">
      <c r="D82" t="s">
        <v>435</v>
      </c>
      <c r="E82">
        <v>118.75</v>
      </c>
    </row>
    <row r="83" spans="4:5" x14ac:dyDescent="0.3">
      <c r="D83" t="s">
        <v>436</v>
      </c>
      <c r="E83">
        <v>114.73</v>
      </c>
    </row>
    <row r="84" spans="4:5" x14ac:dyDescent="0.3">
      <c r="D84" t="s">
        <v>437</v>
      </c>
      <c r="E84">
        <v>111.73</v>
      </c>
    </row>
    <row r="85" spans="4:5" x14ac:dyDescent="0.3">
      <c r="D85" t="s">
        <v>438</v>
      </c>
      <c r="E85">
        <v>111.71</v>
      </c>
    </row>
    <row r="86" spans="4:5" x14ac:dyDescent="0.3">
      <c r="D86" t="s">
        <v>439</v>
      </c>
      <c r="E86">
        <v>108.76</v>
      </c>
    </row>
    <row r="87" spans="4:5" x14ac:dyDescent="0.3">
      <c r="D87" t="s">
        <v>440</v>
      </c>
      <c r="E87">
        <v>107.71</v>
      </c>
    </row>
    <row r="88" spans="4:5" x14ac:dyDescent="0.3">
      <c r="D88" t="s">
        <v>441</v>
      </c>
      <c r="E88">
        <v>107.66</v>
      </c>
    </row>
    <row r="89" spans="4:5" x14ac:dyDescent="0.3">
      <c r="D89" t="s">
        <v>442</v>
      </c>
      <c r="E89">
        <v>106.75</v>
      </c>
    </row>
    <row r="90" spans="4:5" x14ac:dyDescent="0.3">
      <c r="D90" t="s">
        <v>443</v>
      </c>
      <c r="E90">
        <v>105.72</v>
      </c>
    </row>
    <row r="91" spans="4:5" x14ac:dyDescent="0.3">
      <c r="D91" t="s">
        <v>444</v>
      </c>
      <c r="E91">
        <v>104.76</v>
      </c>
    </row>
    <row r="92" spans="4:5" x14ac:dyDescent="0.3">
      <c r="D92" t="s">
        <v>445</v>
      </c>
      <c r="E92">
        <v>103.73</v>
      </c>
    </row>
    <row r="93" spans="4:5" x14ac:dyDescent="0.3">
      <c r="D93" t="s">
        <v>446</v>
      </c>
      <c r="E93">
        <v>99.74</v>
      </c>
    </row>
    <row r="94" spans="4:5" x14ac:dyDescent="0.3">
      <c r="D94" t="s">
        <v>447</v>
      </c>
      <c r="E94">
        <v>99.68</v>
      </c>
    </row>
    <row r="95" spans="4:5" x14ac:dyDescent="0.3">
      <c r="D95" t="s">
        <v>448</v>
      </c>
      <c r="E95">
        <v>97.8</v>
      </c>
    </row>
    <row r="96" spans="4:5" x14ac:dyDescent="0.3">
      <c r="D96" t="s">
        <v>449</v>
      </c>
      <c r="E96">
        <v>96.76</v>
      </c>
    </row>
    <row r="97" spans="4:5" x14ac:dyDescent="0.3">
      <c r="D97" t="s">
        <v>450</v>
      </c>
      <c r="E97">
        <v>95.76</v>
      </c>
    </row>
    <row r="98" spans="4:5" x14ac:dyDescent="0.3">
      <c r="D98" t="s">
        <v>451</v>
      </c>
      <c r="E98">
        <v>93.83</v>
      </c>
    </row>
    <row r="99" spans="4:5" x14ac:dyDescent="0.3">
      <c r="D99" t="s">
        <v>452</v>
      </c>
      <c r="E99">
        <v>93.78</v>
      </c>
    </row>
    <row r="100" spans="4:5" x14ac:dyDescent="0.3">
      <c r="D100" t="s">
        <v>453</v>
      </c>
      <c r="E100">
        <v>92.79</v>
      </c>
    </row>
    <row r="101" spans="4:5" x14ac:dyDescent="0.3">
      <c r="D101" t="s">
        <v>454</v>
      </c>
      <c r="E101">
        <v>91.77</v>
      </c>
    </row>
    <row r="102" spans="4:5" x14ac:dyDescent="0.3">
      <c r="D102" t="s">
        <v>455</v>
      </c>
      <c r="E102">
        <v>85.77</v>
      </c>
    </row>
    <row r="103" spans="4:5" x14ac:dyDescent="0.3">
      <c r="D103" t="s">
        <v>456</v>
      </c>
      <c r="E103">
        <v>80.77</v>
      </c>
    </row>
    <row r="104" spans="4:5" x14ac:dyDescent="0.3">
      <c r="D104" t="s">
        <v>457</v>
      </c>
      <c r="E104">
        <v>78.790000000000006</v>
      </c>
    </row>
    <row r="105" spans="4:5" x14ac:dyDescent="0.3">
      <c r="D105" t="s">
        <v>458</v>
      </c>
      <c r="E105">
        <v>73.78</v>
      </c>
    </row>
    <row r="106" spans="4:5" x14ac:dyDescent="0.3">
      <c r="D106" t="s">
        <v>459</v>
      </c>
      <c r="E106">
        <v>67.819999999999993</v>
      </c>
    </row>
    <row r="107" spans="4:5" x14ac:dyDescent="0.3">
      <c r="D107" t="s">
        <v>460</v>
      </c>
      <c r="E107">
        <v>64.84</v>
      </c>
    </row>
    <row r="108" spans="4:5" x14ac:dyDescent="0.3">
      <c r="D108" t="s">
        <v>461</v>
      </c>
      <c r="E108">
        <v>64.819999999999993</v>
      </c>
    </row>
    <row r="109" spans="4:5" x14ac:dyDescent="0.3">
      <c r="D109" t="s">
        <v>462</v>
      </c>
      <c r="E109">
        <v>63.78</v>
      </c>
    </row>
    <row r="110" spans="4:5" x14ac:dyDescent="0.3">
      <c r="D110" t="s">
        <v>463</v>
      </c>
      <c r="E110">
        <v>47.85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Descr. Analysis - film</vt:lpstr>
      <vt:lpstr>Descr. Analysis - costumer</vt:lpstr>
      <vt:lpstr>Top 10 Countries - customer #</vt:lpstr>
      <vt:lpstr>Top 10 Cities of the prev. sel.</vt:lpstr>
      <vt:lpstr>Top 5 Customers of prev. sel.</vt:lpstr>
      <vt:lpstr>revenue by rating</vt:lpstr>
      <vt:lpstr>Revenue by Category</vt:lpstr>
      <vt:lpstr>Sales variation per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Freitas</dc:creator>
  <cp:lastModifiedBy>Daniela Freitas</cp:lastModifiedBy>
  <dcterms:created xsi:type="dcterms:W3CDTF">2025-07-21T18:26:37Z</dcterms:created>
  <dcterms:modified xsi:type="dcterms:W3CDTF">2026-09-25T11:43:29Z</dcterms:modified>
</cp:coreProperties>
</file>